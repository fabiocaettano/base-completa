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pp\copilot\"/>
    </mc:Choice>
  </mc:AlternateContent>
  <xr:revisionPtr revIDLastSave="0" documentId="13_ncr:1_{788BA024-CCAB-4FD1-9D72-B916AB7F28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se_objeto_postado" sheetId="1" r:id="rId1"/>
    <sheet name="base_pedidos" sheetId="2" r:id="rId2"/>
    <sheet name="base_lotes" sheetId="12" r:id="rId3"/>
    <sheet name="base_mcco" sheetId="7" r:id="rId4"/>
  </sheets>
  <definedNames>
    <definedName name="_xlnm._FilterDatabase" localSheetId="2" hidden="1">base_lotes!$A$1:$R$33</definedName>
    <definedName name="_xlnm._FilterDatabase" localSheetId="0" hidden="1">base_objeto_postado!$A$1:$L$4</definedName>
    <definedName name="_xlnm._FilterDatabase" localSheetId="1" hidden="1">base_pedidos!$A$1:$P$33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2" l="1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</calcChain>
</file>

<file path=xl/sharedStrings.xml><?xml version="1.0" encoding="utf-8"?>
<sst xmlns="http://schemas.openxmlformats.org/spreadsheetml/2006/main" count="661" uniqueCount="138">
  <si>
    <t>CLIENTE</t>
  </si>
  <si>
    <t>NOME</t>
  </si>
  <si>
    <t>LOTE</t>
  </si>
  <si>
    <t>PEDIDO</t>
  </si>
  <si>
    <t>TIPO_PEDIDO</t>
  </si>
  <si>
    <t>SE</t>
  </si>
  <si>
    <t>ZONA</t>
  </si>
  <si>
    <t>REGISTRO</t>
  </si>
  <si>
    <t>NOTA_FISCAL</t>
  </si>
  <si>
    <t>SERIE</t>
  </si>
  <si>
    <t>DATA_EXPEDICAO</t>
  </si>
  <si>
    <t>DATA_CANCELAMENTO</t>
  </si>
  <si>
    <t>FM</t>
  </si>
  <si>
    <t>ZM28</t>
  </si>
  <si>
    <t>02</t>
  </si>
  <si>
    <t>DR</t>
  </si>
  <si>
    <t>DT_TRANS</t>
  </si>
  <si>
    <t>PED</t>
  </si>
  <si>
    <t>TP_PED</t>
  </si>
  <si>
    <t>NOTA_SERIE</t>
  </si>
  <si>
    <t>TIPO_NOTA</t>
  </si>
  <si>
    <t>MCCO</t>
  </si>
  <si>
    <t>NOME_CLI</t>
  </si>
  <si>
    <t>ITEM</t>
  </si>
  <si>
    <t>DESC_ITEM</t>
  </si>
  <si>
    <t>QTD</t>
  </si>
  <si>
    <t>UN_MEDIDA</t>
  </si>
  <si>
    <t>ULT_STATUS</t>
  </si>
  <si>
    <t>PROX_STATUS</t>
  </si>
  <si>
    <t>NUM_PEDIDO_SISCAP</t>
  </si>
  <si>
    <t>PA</t>
  </si>
  <si>
    <t>E0</t>
  </si>
  <si>
    <t xml:space="preserve">  </t>
  </si>
  <si>
    <t>FL</t>
  </si>
  <si>
    <t>ETIQUETA FISICA SEDEX OY</t>
  </si>
  <si>
    <t>SC</t>
  </si>
  <si>
    <t>ROTULO ALTERNATIVO S BANDEIRA</t>
  </si>
  <si>
    <t>ETIQUETA FISICA PAC QN</t>
  </si>
  <si>
    <t>ENVELOPE FRONHA 16CM X 9CM</t>
  </si>
  <si>
    <t>RO</t>
  </si>
  <si>
    <t>FITA ADESIVA PLAST EMPACOTAM</t>
  </si>
  <si>
    <t>pedido</t>
  </si>
  <si>
    <t>item</t>
  </si>
  <si>
    <t>descricao</t>
  </si>
  <si>
    <t>um</t>
  </si>
  <si>
    <t>lote_pedido</t>
  </si>
  <si>
    <t>qtde</t>
  </si>
  <si>
    <t>status_lote</t>
  </si>
  <si>
    <t>tipo</t>
  </si>
  <si>
    <t>zona</t>
  </si>
  <si>
    <t>status_impressao</t>
  </si>
  <si>
    <t>posto</t>
  </si>
  <si>
    <t>lote_consolidado</t>
  </si>
  <si>
    <t>cep</t>
  </si>
  <si>
    <t>roteirizador</t>
  </si>
  <si>
    <t>cod_cliente</t>
  </si>
  <si>
    <t>descricao_cliente</t>
  </si>
  <si>
    <t>se</t>
  </si>
  <si>
    <t>299</t>
  </si>
  <si>
    <t>II</t>
  </si>
  <si>
    <t>P2601</t>
  </si>
  <si>
    <t>752460188</t>
  </si>
  <si>
    <t>752460200</t>
  </si>
  <si>
    <t>DESCRICAO_MCCO</t>
  </si>
  <si>
    <t>CS - CORREIOS SEDE</t>
  </si>
  <si>
    <t>SE - ACRE</t>
  </si>
  <si>
    <t>SE - ALAGOAS</t>
  </si>
  <si>
    <t>SE - AMAPÁ</t>
  </si>
  <si>
    <t>SE - AMAZONAS</t>
  </si>
  <si>
    <t>SE - BAHIA</t>
  </si>
  <si>
    <t>SE - BRASÍLIA</t>
  </si>
  <si>
    <t>SE - CEARÁ</t>
  </si>
  <si>
    <t>SE - ESPIRITO SANTO</t>
  </si>
  <si>
    <t>SE - GOIÁS</t>
  </si>
  <si>
    <t>SE - MARANHÃO</t>
  </si>
  <si>
    <t>SE - MINAS GERAIS</t>
  </si>
  <si>
    <t>SE - MATO GROSSO DO SUL</t>
  </si>
  <si>
    <t>SE - MATO GROSSO</t>
  </si>
  <si>
    <t>SE - RONDONIA</t>
  </si>
  <si>
    <t>SE - PARÁ</t>
  </si>
  <si>
    <t>SE - PARAÍBA</t>
  </si>
  <si>
    <t>SE - PERNAMBUCO</t>
  </si>
  <si>
    <t>SE - PIAUÍ</t>
  </si>
  <si>
    <t>SE - PARANÁ</t>
  </si>
  <si>
    <t>SE - RIO DE JANEIRO</t>
  </si>
  <si>
    <t>SE - RIO GRANDE DO NORTE</t>
  </si>
  <si>
    <t>SE - RIO GRANDE DO SUL</t>
  </si>
  <si>
    <t>SE - RORAIMA</t>
  </si>
  <si>
    <t>SE - SANTA CATARINA</t>
  </si>
  <si>
    <t>SE - SERGIPE</t>
  </si>
  <si>
    <t>SE - SÃO PAULO METROPOLITANA</t>
  </si>
  <si>
    <t>SE - SÃO PAULO INTERIOR</t>
  </si>
  <si>
    <t>SE - TOCANTINS</t>
  </si>
  <si>
    <t>I</t>
  </si>
  <si>
    <t>116601540</t>
  </si>
  <si>
    <t>CAIXA ENCOMENDA G</t>
  </si>
  <si>
    <t>CX</t>
  </si>
  <si>
    <t>T4</t>
  </si>
  <si>
    <t>ZP06</t>
  </si>
  <si>
    <t>P1101</t>
  </si>
  <si>
    <t>97015970</t>
  </si>
  <si>
    <t>817</t>
  </si>
  <si>
    <t>AGF SANTAMARIENSE</t>
  </si>
  <si>
    <t>00064</t>
  </si>
  <si>
    <t>116601566</t>
  </si>
  <si>
    <t>CAIXA ENCOMENDA M</t>
  </si>
  <si>
    <t>ZP17</t>
  </si>
  <si>
    <t>P1301</t>
  </si>
  <si>
    <t>116601558</t>
  </si>
  <si>
    <t>CAIXA ENCOMENDA P</t>
  </si>
  <si>
    <t>ZP22</t>
  </si>
  <si>
    <t>P1201</t>
  </si>
  <si>
    <t>752402030</t>
  </si>
  <si>
    <t>AVISO RECEBIMENTO AR (CENTO)</t>
  </si>
  <si>
    <t>ZM03</t>
  </si>
  <si>
    <t>P3402</t>
  </si>
  <si>
    <t>752405462</t>
  </si>
  <si>
    <t>ETIQUETA FIS REGIST URG BN</t>
  </si>
  <si>
    <t>752460099</t>
  </si>
  <si>
    <t>ETIQUETA FISICA ECON MARKET YD</t>
  </si>
  <si>
    <t xml:space="preserve"> </t>
  </si>
  <si>
    <t>115600370</t>
  </si>
  <si>
    <t>SELO LACRE CAIXETA   SLC 01</t>
  </si>
  <si>
    <t>ZM10</t>
  </si>
  <si>
    <t>P3702</t>
  </si>
  <si>
    <t>0042405325262nk</t>
  </si>
  <si>
    <t>ID</t>
  </si>
  <si>
    <t>PV068079848BR</t>
  </si>
  <si>
    <t>06</t>
  </si>
  <si>
    <t>PV068079896BR</t>
  </si>
  <si>
    <t>PV068079940BR</t>
  </si>
  <si>
    <t>PV068159223BR</t>
  </si>
  <si>
    <t>PV068239828BR</t>
  </si>
  <si>
    <t>PV068286350BR</t>
  </si>
  <si>
    <t>PV068286363BR</t>
  </si>
  <si>
    <t>FECHA MALAS VERMELHO (21 60mm)</t>
  </si>
  <si>
    <t>ETIQUETA RESGATE TELESENA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</si>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</sst>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L9"/>
  <sheetViews>
    <sheetView workbookViewId="0">
      <selection activeCell="D18" sqref="D18"/>
    </sheetView>
  </sheetViews>
  <sheetFormatPr defaultRowHeight="15" x14ac:dyDescent="0.25"/>
  <cols>
    <col min="1" max="1" width="9" bestFit="1" customWidth="1"/>
    <col min="2" max="2" width="35.140625" bestFit="1" customWidth="1"/>
    <col min="3" max="4" width="8" bestFit="1" customWidth="1"/>
    <col min="5" max="5" width="12.85546875" bestFit="1" customWidth="1"/>
    <col min="6" max="6" width="6" bestFit="1" customWidth="1"/>
    <col min="7" max="7" width="6.140625" bestFit="1" customWidth="1"/>
    <col min="8" max="8" width="14.85546875" bestFit="1" customWidth="1"/>
    <col min="9" max="9" width="13.140625" bestFit="1" customWidth="1"/>
    <col min="10" max="10" width="5.7109375" bestFit="1" customWidth="1"/>
    <col min="11" max="11" width="18.42578125" bestFit="1" customWidth="1"/>
    <col min="12" max="12" width="22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16853397</v>
      </c>
      <c r="B2" t="s">
        <v>102</v>
      </c>
      <c r="C2">
        <v>1432455</v>
      </c>
      <c r="D2">
        <v>29013</v>
      </c>
      <c r="E2" t="s">
        <v>97</v>
      </c>
      <c r="F2" t="s">
        <v>103</v>
      </c>
      <c r="G2" t="s">
        <v>98</v>
      </c>
      <c r="H2" t="s">
        <v>127</v>
      </c>
      <c r="I2">
        <v>103029</v>
      </c>
      <c r="J2" t="s">
        <v>128</v>
      </c>
      <c r="K2" s="3">
        <v>45932</v>
      </c>
    </row>
    <row r="3" spans="1:12" x14ac:dyDescent="0.25">
      <c r="A3">
        <v>16853397</v>
      </c>
      <c r="B3" t="s">
        <v>102</v>
      </c>
      <c r="C3">
        <v>1432455</v>
      </c>
      <c r="D3">
        <v>29014</v>
      </c>
      <c r="E3" t="s">
        <v>97</v>
      </c>
      <c r="F3" t="s">
        <v>103</v>
      </c>
      <c r="G3" t="s">
        <v>98</v>
      </c>
      <c r="H3" t="s">
        <v>129</v>
      </c>
      <c r="I3">
        <v>103030</v>
      </c>
      <c r="J3" t="s">
        <v>128</v>
      </c>
      <c r="K3" s="3">
        <v>45932</v>
      </c>
    </row>
    <row r="4" spans="1:12" x14ac:dyDescent="0.25">
      <c r="A4">
        <v>16853397</v>
      </c>
      <c r="B4" t="s">
        <v>102</v>
      </c>
      <c r="C4">
        <v>1432455</v>
      </c>
      <c r="D4">
        <v>29015</v>
      </c>
      <c r="E4" t="s">
        <v>97</v>
      </c>
      <c r="F4" t="s">
        <v>103</v>
      </c>
      <c r="G4" t="s">
        <v>98</v>
      </c>
      <c r="H4" t="s">
        <v>130</v>
      </c>
      <c r="I4">
        <v>103031</v>
      </c>
      <c r="J4" t="s">
        <v>128</v>
      </c>
      <c r="K4" s="3">
        <v>45932</v>
      </c>
    </row>
    <row r="5" spans="1:12" x14ac:dyDescent="0.25">
      <c r="A5">
        <v>16853397</v>
      </c>
      <c r="B5" t="s">
        <v>102</v>
      </c>
      <c r="C5">
        <v>1433129</v>
      </c>
      <c r="D5">
        <v>155011</v>
      </c>
      <c r="E5" t="s">
        <v>12</v>
      </c>
      <c r="F5" t="s">
        <v>103</v>
      </c>
      <c r="G5" t="s">
        <v>114</v>
      </c>
      <c r="H5" t="s">
        <v>131</v>
      </c>
      <c r="I5">
        <v>855424</v>
      </c>
      <c r="J5" t="s">
        <v>14</v>
      </c>
      <c r="K5" s="3">
        <v>45954</v>
      </c>
    </row>
    <row r="6" spans="1:12" x14ac:dyDescent="0.25">
      <c r="A6">
        <v>16853397</v>
      </c>
      <c r="B6" t="s">
        <v>102</v>
      </c>
      <c r="C6">
        <v>1433368</v>
      </c>
      <c r="D6">
        <v>155011</v>
      </c>
      <c r="E6" t="s">
        <v>12</v>
      </c>
      <c r="F6" t="s">
        <v>103</v>
      </c>
      <c r="G6" t="s">
        <v>13</v>
      </c>
      <c r="H6" t="s">
        <v>132</v>
      </c>
      <c r="I6">
        <v>855737</v>
      </c>
      <c r="J6" t="s">
        <v>14</v>
      </c>
      <c r="K6" s="3">
        <v>45961</v>
      </c>
    </row>
    <row r="7" spans="1:12" x14ac:dyDescent="0.25">
      <c r="A7">
        <v>16853397</v>
      </c>
      <c r="B7" t="s">
        <v>102</v>
      </c>
      <c r="C7">
        <v>1433380</v>
      </c>
      <c r="D7">
        <v>155011</v>
      </c>
      <c r="E7" t="s">
        <v>12</v>
      </c>
      <c r="F7" t="s">
        <v>103</v>
      </c>
      <c r="G7" t="s">
        <v>123</v>
      </c>
      <c r="H7" t="s">
        <v>133</v>
      </c>
      <c r="I7">
        <v>855865</v>
      </c>
      <c r="J7" t="s">
        <v>14</v>
      </c>
      <c r="K7" s="3">
        <v>45965</v>
      </c>
    </row>
    <row r="8" spans="1:12" x14ac:dyDescent="0.25">
      <c r="A8">
        <v>16853397</v>
      </c>
      <c r="B8" t="s">
        <v>102</v>
      </c>
      <c r="C8">
        <v>1433380</v>
      </c>
      <c r="D8">
        <v>155011</v>
      </c>
      <c r="E8" t="s">
        <v>12</v>
      </c>
      <c r="F8" t="s">
        <v>103</v>
      </c>
      <c r="G8" t="s">
        <v>123</v>
      </c>
      <c r="H8" t="s">
        <v>134</v>
      </c>
      <c r="I8">
        <v>855865</v>
      </c>
      <c r="J8" t="s">
        <v>14</v>
      </c>
      <c r="K8" s="3">
        <v>45965</v>
      </c>
    </row>
    <row r="9" spans="1:12" x14ac:dyDescent="0.25">
      <c r="I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P33"/>
  <sheetViews>
    <sheetView tabSelected="1" workbookViewId="0">
      <selection activeCell="E1" sqref="E1"/>
    </sheetView>
  </sheetViews>
  <sheetFormatPr defaultRowHeight="15" x14ac:dyDescent="0.25"/>
  <cols>
    <col min="1" max="1" width="3.42578125" bestFit="1" customWidth="1"/>
    <col min="2" max="2" width="10.7109375" style="2" bestFit="1" customWidth="1"/>
    <col min="3" max="3" width="8" bestFit="1" customWidth="1"/>
    <col min="4" max="4" width="7.5703125" bestFit="1" customWidth="1"/>
    <col min="5" max="5" width="11.85546875" bestFit="1" customWidth="1"/>
    <col min="6" max="6" width="11.28515625" bestFit="1" customWidth="1"/>
    <col min="7" max="7" width="9" bestFit="1" customWidth="1"/>
    <col min="8" max="8" width="6.42578125" bestFit="1" customWidth="1"/>
    <col min="9" max="9" width="35.140625" bestFit="1" customWidth="1"/>
    <col min="10" max="10" width="10" bestFit="1" customWidth="1"/>
    <col min="11" max="11" width="35.42578125" bestFit="1" customWidth="1"/>
    <col min="12" max="12" width="6" bestFit="1" customWidth="1"/>
    <col min="13" max="13" width="11.85546875" bestFit="1" customWidth="1"/>
    <col min="14" max="14" width="11.7109375" bestFit="1" customWidth="1"/>
    <col min="15" max="15" width="13.5703125" bestFit="1" customWidth="1"/>
    <col min="16" max="16" width="20.5703125" bestFit="1" customWidth="1"/>
  </cols>
  <sheetData>
    <row r="1" spans="1:16" x14ac:dyDescent="0.25">
      <c r="A1" s="1" t="s">
        <v>15</v>
      </c>
      <c r="B1" s="2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25">
      <c r="A2">
        <v>72</v>
      </c>
      <c r="B2" s="2">
        <v>45947</v>
      </c>
      <c r="C2">
        <v>155011</v>
      </c>
      <c r="D2" t="s">
        <v>12</v>
      </c>
      <c r="E2">
        <v>85586502</v>
      </c>
      <c r="F2" t="s">
        <v>31</v>
      </c>
      <c r="G2">
        <v>16853397</v>
      </c>
      <c r="H2">
        <v>64</v>
      </c>
      <c r="I2" t="s">
        <v>102</v>
      </c>
      <c r="J2">
        <v>115600370</v>
      </c>
      <c r="K2" t="s">
        <v>122</v>
      </c>
      <c r="L2">
        <v>20</v>
      </c>
      <c r="M2" t="s">
        <v>35</v>
      </c>
      <c r="N2">
        <v>620</v>
      </c>
      <c r="O2">
        <v>999</v>
      </c>
      <c r="P2" t="s">
        <v>125</v>
      </c>
    </row>
    <row r="3" spans="1:16" x14ac:dyDescent="0.25">
      <c r="A3">
        <v>72</v>
      </c>
      <c r="B3" s="2">
        <v>45947</v>
      </c>
      <c r="C3">
        <v>155011</v>
      </c>
      <c r="D3" t="s">
        <v>12</v>
      </c>
      <c r="F3" t="s">
        <v>32</v>
      </c>
      <c r="G3">
        <v>16853397</v>
      </c>
      <c r="H3">
        <v>64</v>
      </c>
      <c r="I3" t="s">
        <v>102</v>
      </c>
      <c r="J3">
        <v>115600469</v>
      </c>
      <c r="K3" t="s">
        <v>135</v>
      </c>
      <c r="L3">
        <v>40</v>
      </c>
      <c r="M3" t="s">
        <v>35</v>
      </c>
      <c r="N3">
        <v>520</v>
      </c>
      <c r="O3">
        <v>540</v>
      </c>
      <c r="P3" t="s">
        <v>125</v>
      </c>
    </row>
    <row r="4" spans="1:16" x14ac:dyDescent="0.25">
      <c r="A4">
        <v>72</v>
      </c>
      <c r="B4" s="2">
        <v>45947</v>
      </c>
      <c r="C4">
        <v>155011</v>
      </c>
      <c r="D4" t="s">
        <v>12</v>
      </c>
      <c r="E4">
        <v>85542402</v>
      </c>
      <c r="F4" t="s">
        <v>31</v>
      </c>
      <c r="G4">
        <v>16853397</v>
      </c>
      <c r="H4">
        <v>64</v>
      </c>
      <c r="I4" t="s">
        <v>102</v>
      </c>
      <c r="J4">
        <v>752402030</v>
      </c>
      <c r="K4" t="s">
        <v>113</v>
      </c>
      <c r="L4">
        <v>10</v>
      </c>
      <c r="M4" t="s">
        <v>30</v>
      </c>
      <c r="N4">
        <v>620</v>
      </c>
      <c r="O4">
        <v>999</v>
      </c>
      <c r="P4" t="s">
        <v>125</v>
      </c>
    </row>
    <row r="5" spans="1:16" x14ac:dyDescent="0.25">
      <c r="A5">
        <v>72</v>
      </c>
      <c r="B5" s="2">
        <v>45947</v>
      </c>
      <c r="C5">
        <v>155011</v>
      </c>
      <c r="D5" t="s">
        <v>12</v>
      </c>
      <c r="E5">
        <v>85561002</v>
      </c>
      <c r="F5" t="s">
        <v>31</v>
      </c>
      <c r="G5">
        <v>16853397</v>
      </c>
      <c r="H5">
        <v>64</v>
      </c>
      <c r="I5" t="s">
        <v>102</v>
      </c>
      <c r="J5">
        <v>752405462</v>
      </c>
      <c r="K5" t="s">
        <v>117</v>
      </c>
      <c r="L5">
        <v>100</v>
      </c>
      <c r="M5" t="s">
        <v>33</v>
      </c>
      <c r="N5">
        <v>620</v>
      </c>
      <c r="O5">
        <v>999</v>
      </c>
      <c r="P5" t="s">
        <v>125</v>
      </c>
    </row>
    <row r="6" spans="1:16" x14ac:dyDescent="0.25">
      <c r="A6">
        <v>72</v>
      </c>
      <c r="B6" s="2">
        <v>45947</v>
      </c>
      <c r="C6">
        <v>155011</v>
      </c>
      <c r="D6" t="s">
        <v>12</v>
      </c>
      <c r="E6">
        <v>85573702</v>
      </c>
      <c r="F6" t="s">
        <v>31</v>
      </c>
      <c r="G6">
        <v>16853397</v>
      </c>
      <c r="H6">
        <v>64</v>
      </c>
      <c r="I6" t="s">
        <v>102</v>
      </c>
      <c r="J6">
        <v>752460099</v>
      </c>
      <c r="K6" t="s">
        <v>119</v>
      </c>
      <c r="L6">
        <v>100</v>
      </c>
      <c r="M6" t="s">
        <v>33</v>
      </c>
      <c r="N6">
        <v>620</v>
      </c>
      <c r="O6">
        <v>999</v>
      </c>
      <c r="P6" t="s">
        <v>125</v>
      </c>
    </row>
    <row r="7" spans="1:16" x14ac:dyDescent="0.25">
      <c r="A7">
        <v>72</v>
      </c>
      <c r="B7" s="2">
        <v>45947</v>
      </c>
      <c r="C7">
        <v>155011</v>
      </c>
      <c r="D7" t="s">
        <v>12</v>
      </c>
      <c r="E7">
        <v>85561002</v>
      </c>
      <c r="F7" t="s">
        <v>31</v>
      </c>
      <c r="G7">
        <v>16853397</v>
      </c>
      <c r="H7">
        <v>64</v>
      </c>
      <c r="I7" t="s">
        <v>102</v>
      </c>
      <c r="J7">
        <v>752460188</v>
      </c>
      <c r="K7" t="s">
        <v>34</v>
      </c>
      <c r="L7">
        <v>100</v>
      </c>
      <c r="M7" t="s">
        <v>33</v>
      </c>
      <c r="N7">
        <v>620</v>
      </c>
      <c r="O7">
        <v>999</v>
      </c>
      <c r="P7" t="s">
        <v>125</v>
      </c>
    </row>
    <row r="8" spans="1:16" x14ac:dyDescent="0.25">
      <c r="A8">
        <v>72</v>
      </c>
      <c r="B8" s="2">
        <v>45947</v>
      </c>
      <c r="C8">
        <v>155011</v>
      </c>
      <c r="D8" t="s">
        <v>12</v>
      </c>
      <c r="E8">
        <v>85561002</v>
      </c>
      <c r="F8" t="s">
        <v>31</v>
      </c>
      <c r="G8">
        <v>16853397</v>
      </c>
      <c r="H8">
        <v>64</v>
      </c>
      <c r="I8" t="s">
        <v>102</v>
      </c>
      <c r="J8">
        <v>752460200</v>
      </c>
      <c r="K8" t="s">
        <v>37</v>
      </c>
      <c r="L8">
        <v>100</v>
      </c>
      <c r="M8" t="s">
        <v>33</v>
      </c>
      <c r="N8">
        <v>620</v>
      </c>
      <c r="O8">
        <v>999</v>
      </c>
      <c r="P8" t="s">
        <v>125</v>
      </c>
    </row>
    <row r="9" spans="1:16" x14ac:dyDescent="0.25">
      <c r="A9">
        <v>72</v>
      </c>
      <c r="B9" s="2">
        <v>45947</v>
      </c>
      <c r="C9">
        <v>155011</v>
      </c>
      <c r="D9" t="s">
        <v>12</v>
      </c>
      <c r="F9" t="s">
        <v>32</v>
      </c>
      <c r="G9">
        <v>16853397</v>
      </c>
      <c r="H9">
        <v>64</v>
      </c>
      <c r="I9" t="s">
        <v>102</v>
      </c>
      <c r="J9">
        <v>765000890</v>
      </c>
      <c r="K9" t="s">
        <v>38</v>
      </c>
      <c r="L9">
        <v>20</v>
      </c>
      <c r="M9" t="s">
        <v>30</v>
      </c>
      <c r="N9">
        <v>520</v>
      </c>
      <c r="O9">
        <v>540</v>
      </c>
      <c r="P9" t="s">
        <v>125</v>
      </c>
    </row>
    <row r="10" spans="1:16" x14ac:dyDescent="0.25">
      <c r="A10">
        <v>72</v>
      </c>
      <c r="B10" s="2">
        <v>45947</v>
      </c>
      <c r="C10">
        <v>155011</v>
      </c>
      <c r="D10" t="s">
        <v>12</v>
      </c>
      <c r="F10" t="s">
        <v>32</v>
      </c>
      <c r="G10">
        <v>16853397</v>
      </c>
      <c r="H10">
        <v>64</v>
      </c>
      <c r="I10" t="s">
        <v>102</v>
      </c>
      <c r="J10">
        <v>889800170</v>
      </c>
      <c r="K10" t="s">
        <v>136</v>
      </c>
      <c r="L10">
        <v>2</v>
      </c>
      <c r="M10" t="s">
        <v>33</v>
      </c>
      <c r="N10">
        <v>520</v>
      </c>
      <c r="O10">
        <v>540</v>
      </c>
      <c r="P10" t="s">
        <v>125</v>
      </c>
    </row>
    <row r="11" spans="1:16" x14ac:dyDescent="0.25">
      <c r="A11">
        <v>72</v>
      </c>
      <c r="B11" s="2">
        <v>45947</v>
      </c>
      <c r="C11">
        <v>29013</v>
      </c>
      <c r="D11" t="s">
        <v>97</v>
      </c>
      <c r="E11">
        <v>10302906</v>
      </c>
      <c r="F11" t="s">
        <v>31</v>
      </c>
      <c r="G11">
        <v>16853397</v>
      </c>
      <c r="H11">
        <v>64</v>
      </c>
      <c r="I11" t="s">
        <v>102</v>
      </c>
      <c r="J11">
        <v>116601540</v>
      </c>
      <c r="K11" t="s">
        <v>95</v>
      </c>
      <c r="L11">
        <v>1</v>
      </c>
      <c r="M11" t="s">
        <v>96</v>
      </c>
      <c r="N11">
        <v>620</v>
      </c>
      <c r="O11">
        <v>999</v>
      </c>
      <c r="P11" t="s">
        <v>125</v>
      </c>
    </row>
    <row r="12" spans="1:16" x14ac:dyDescent="0.25">
      <c r="A12">
        <v>72</v>
      </c>
      <c r="B12" s="2">
        <v>45947</v>
      </c>
      <c r="C12">
        <v>29014</v>
      </c>
      <c r="D12" t="s">
        <v>97</v>
      </c>
      <c r="E12">
        <v>10303006</v>
      </c>
      <c r="F12" t="s">
        <v>31</v>
      </c>
      <c r="G12">
        <v>16853397</v>
      </c>
      <c r="H12">
        <v>64</v>
      </c>
      <c r="I12" t="s">
        <v>102</v>
      </c>
      <c r="J12">
        <v>116601540</v>
      </c>
      <c r="K12" t="s">
        <v>95</v>
      </c>
      <c r="L12">
        <v>1</v>
      </c>
      <c r="M12" t="s">
        <v>96</v>
      </c>
      <c r="N12">
        <v>620</v>
      </c>
      <c r="O12">
        <v>999</v>
      </c>
      <c r="P12" t="s">
        <v>125</v>
      </c>
    </row>
    <row r="13" spans="1:16" x14ac:dyDescent="0.25">
      <c r="A13">
        <v>72</v>
      </c>
      <c r="B13" s="2">
        <v>45947</v>
      </c>
      <c r="C13">
        <v>29015</v>
      </c>
      <c r="D13" t="s">
        <v>97</v>
      </c>
      <c r="E13">
        <v>10303106</v>
      </c>
      <c r="F13" t="s">
        <v>31</v>
      </c>
      <c r="G13">
        <v>16853397</v>
      </c>
      <c r="H13">
        <v>64</v>
      </c>
      <c r="I13" t="s">
        <v>102</v>
      </c>
      <c r="J13">
        <v>116601540</v>
      </c>
      <c r="K13" t="s">
        <v>95</v>
      </c>
      <c r="L13">
        <v>1</v>
      </c>
      <c r="M13" t="s">
        <v>96</v>
      </c>
      <c r="N13">
        <v>620</v>
      </c>
      <c r="O13">
        <v>999</v>
      </c>
      <c r="P13" t="s">
        <v>125</v>
      </c>
    </row>
    <row r="14" spans="1:16" x14ac:dyDescent="0.25">
      <c r="A14">
        <v>72</v>
      </c>
      <c r="B14" s="2">
        <v>45947</v>
      </c>
      <c r="C14">
        <v>29016</v>
      </c>
      <c r="D14" t="s">
        <v>97</v>
      </c>
      <c r="E14">
        <v>10303206</v>
      </c>
      <c r="F14" t="s">
        <v>31</v>
      </c>
      <c r="G14">
        <v>16853397</v>
      </c>
      <c r="H14">
        <v>64</v>
      </c>
      <c r="I14" t="s">
        <v>102</v>
      </c>
      <c r="J14">
        <v>116601540</v>
      </c>
      <c r="K14" t="s">
        <v>95</v>
      </c>
      <c r="L14">
        <v>1</v>
      </c>
      <c r="M14" t="s">
        <v>96</v>
      </c>
      <c r="N14">
        <v>620</v>
      </c>
      <c r="O14">
        <v>999</v>
      </c>
      <c r="P14" t="s">
        <v>125</v>
      </c>
    </row>
    <row r="15" spans="1:16" x14ac:dyDescent="0.25">
      <c r="A15">
        <v>72</v>
      </c>
      <c r="B15" s="2">
        <v>45947</v>
      </c>
      <c r="C15">
        <v>29017</v>
      </c>
      <c r="D15" t="s">
        <v>97</v>
      </c>
      <c r="G15">
        <v>16853397</v>
      </c>
      <c r="H15">
        <v>64</v>
      </c>
      <c r="I15" t="s">
        <v>102</v>
      </c>
      <c r="J15">
        <v>116601566</v>
      </c>
      <c r="K15" t="s">
        <v>105</v>
      </c>
      <c r="L15">
        <v>1</v>
      </c>
      <c r="M15" t="s">
        <v>96</v>
      </c>
      <c r="N15">
        <v>541</v>
      </c>
      <c r="O15">
        <v>541</v>
      </c>
      <c r="P15" t="s">
        <v>125</v>
      </c>
    </row>
    <row r="16" spans="1:16" x14ac:dyDescent="0.25">
      <c r="A16">
        <v>72</v>
      </c>
      <c r="B16" s="2">
        <v>45947</v>
      </c>
      <c r="C16">
        <v>29018</v>
      </c>
      <c r="D16" t="s">
        <v>97</v>
      </c>
      <c r="G16">
        <v>16853397</v>
      </c>
      <c r="H16">
        <v>64</v>
      </c>
      <c r="I16" t="s">
        <v>102</v>
      </c>
      <c r="J16">
        <v>116601566</v>
      </c>
      <c r="K16" t="s">
        <v>105</v>
      </c>
      <c r="L16">
        <v>1</v>
      </c>
      <c r="M16" t="s">
        <v>96</v>
      </c>
      <c r="N16">
        <v>541</v>
      </c>
      <c r="O16">
        <v>541</v>
      </c>
      <c r="P16" t="s">
        <v>125</v>
      </c>
    </row>
    <row r="17" spans="1:16" x14ac:dyDescent="0.25">
      <c r="A17">
        <v>72</v>
      </c>
      <c r="B17" s="2">
        <v>45947</v>
      </c>
      <c r="C17">
        <v>29019</v>
      </c>
      <c r="D17" t="s">
        <v>97</v>
      </c>
      <c r="G17">
        <v>16853397</v>
      </c>
      <c r="H17">
        <v>64</v>
      </c>
      <c r="I17" t="s">
        <v>102</v>
      </c>
      <c r="J17">
        <v>116601566</v>
      </c>
      <c r="K17" t="s">
        <v>105</v>
      </c>
      <c r="L17">
        <v>1</v>
      </c>
      <c r="M17" t="s">
        <v>96</v>
      </c>
      <c r="N17">
        <v>541</v>
      </c>
      <c r="O17">
        <v>541</v>
      </c>
      <c r="P17" t="s">
        <v>125</v>
      </c>
    </row>
    <row r="18" spans="1:16" x14ac:dyDescent="0.25">
      <c r="A18">
        <v>72</v>
      </c>
      <c r="B18" s="2">
        <v>45947</v>
      </c>
      <c r="C18">
        <v>29765</v>
      </c>
      <c r="D18" t="s">
        <v>97</v>
      </c>
      <c r="G18">
        <v>16853397</v>
      </c>
      <c r="H18">
        <v>64</v>
      </c>
      <c r="I18" t="s">
        <v>102</v>
      </c>
      <c r="J18">
        <v>116601558</v>
      </c>
      <c r="K18" t="s">
        <v>109</v>
      </c>
      <c r="L18">
        <v>1</v>
      </c>
      <c r="M18" t="s">
        <v>96</v>
      </c>
      <c r="N18">
        <v>598</v>
      </c>
      <c r="O18">
        <v>617</v>
      </c>
      <c r="P18" t="s">
        <v>125</v>
      </c>
    </row>
    <row r="19" spans="1:16" x14ac:dyDescent="0.25">
      <c r="A19">
        <v>72</v>
      </c>
      <c r="B19" s="2">
        <v>45947</v>
      </c>
      <c r="C19">
        <v>30330</v>
      </c>
      <c r="D19" t="s">
        <v>97</v>
      </c>
      <c r="G19">
        <v>16853397</v>
      </c>
      <c r="H19">
        <v>64</v>
      </c>
      <c r="I19" t="s">
        <v>102</v>
      </c>
      <c r="J19">
        <v>116601566</v>
      </c>
      <c r="K19" t="s">
        <v>105</v>
      </c>
      <c r="L19">
        <v>1</v>
      </c>
      <c r="M19" t="s">
        <v>96</v>
      </c>
      <c r="N19">
        <v>541</v>
      </c>
      <c r="O19">
        <v>541</v>
      </c>
      <c r="P19" t="s">
        <v>125</v>
      </c>
    </row>
    <row r="20" spans="1:16" x14ac:dyDescent="0.25">
      <c r="A20">
        <v>72</v>
      </c>
      <c r="B20" s="2">
        <v>45947</v>
      </c>
      <c r="C20">
        <v>30331</v>
      </c>
      <c r="D20" t="s">
        <v>97</v>
      </c>
      <c r="G20">
        <v>16853397</v>
      </c>
      <c r="H20">
        <v>64</v>
      </c>
      <c r="I20" t="s">
        <v>102</v>
      </c>
      <c r="J20">
        <v>116601566</v>
      </c>
      <c r="K20" t="s">
        <v>105</v>
      </c>
      <c r="L20">
        <v>1</v>
      </c>
      <c r="M20" t="s">
        <v>96</v>
      </c>
      <c r="N20">
        <v>541</v>
      </c>
      <c r="O20">
        <v>541</v>
      </c>
      <c r="P20" t="s">
        <v>125</v>
      </c>
    </row>
    <row r="21" spans="1:16" x14ac:dyDescent="0.25">
      <c r="A21">
        <v>72</v>
      </c>
      <c r="B21" s="2">
        <v>45947</v>
      </c>
      <c r="C21">
        <v>55985</v>
      </c>
      <c r="D21" t="s">
        <v>97</v>
      </c>
      <c r="E21">
        <v>20247406</v>
      </c>
      <c r="F21" t="s">
        <v>31</v>
      </c>
      <c r="G21">
        <v>16853397</v>
      </c>
      <c r="H21">
        <v>64</v>
      </c>
      <c r="I21" t="s">
        <v>102</v>
      </c>
      <c r="J21">
        <v>116601558</v>
      </c>
      <c r="K21" t="s">
        <v>109</v>
      </c>
      <c r="L21">
        <v>1</v>
      </c>
      <c r="M21" t="s">
        <v>96</v>
      </c>
      <c r="N21">
        <v>598</v>
      </c>
      <c r="O21">
        <v>617</v>
      </c>
      <c r="P21" t="s">
        <v>125</v>
      </c>
    </row>
    <row r="22" spans="1:16" x14ac:dyDescent="0.25">
      <c r="A22">
        <v>72</v>
      </c>
      <c r="B22" s="2">
        <v>45947</v>
      </c>
      <c r="C22">
        <v>55986</v>
      </c>
      <c r="D22" t="s">
        <v>97</v>
      </c>
      <c r="E22">
        <v>20247506</v>
      </c>
      <c r="F22" t="s">
        <v>31</v>
      </c>
      <c r="G22">
        <v>16853397</v>
      </c>
      <c r="H22">
        <v>64</v>
      </c>
      <c r="I22" t="s">
        <v>102</v>
      </c>
      <c r="J22">
        <v>116601558</v>
      </c>
      <c r="K22" t="s">
        <v>109</v>
      </c>
      <c r="L22">
        <v>1</v>
      </c>
      <c r="M22" t="s">
        <v>96</v>
      </c>
      <c r="N22">
        <v>598</v>
      </c>
      <c r="O22">
        <v>617</v>
      </c>
      <c r="P22" t="s">
        <v>125</v>
      </c>
    </row>
    <row r="23" spans="1:16" x14ac:dyDescent="0.25">
      <c r="A23">
        <v>72</v>
      </c>
      <c r="B23" s="2">
        <v>45947</v>
      </c>
      <c r="C23">
        <v>55987</v>
      </c>
      <c r="D23" t="s">
        <v>97</v>
      </c>
      <c r="E23">
        <v>20247606</v>
      </c>
      <c r="F23" t="s">
        <v>31</v>
      </c>
      <c r="G23">
        <v>16853397</v>
      </c>
      <c r="H23">
        <v>64</v>
      </c>
      <c r="I23" t="s">
        <v>102</v>
      </c>
      <c r="J23">
        <v>116601558</v>
      </c>
      <c r="K23" t="s">
        <v>109</v>
      </c>
      <c r="L23">
        <v>1</v>
      </c>
      <c r="M23" t="s">
        <v>96</v>
      </c>
      <c r="N23">
        <v>598</v>
      </c>
      <c r="O23">
        <v>617</v>
      </c>
      <c r="P23" t="s">
        <v>125</v>
      </c>
    </row>
    <row r="24" spans="1:16" x14ac:dyDescent="0.25">
      <c r="A24">
        <v>72</v>
      </c>
      <c r="B24" s="2">
        <v>45947</v>
      </c>
      <c r="C24">
        <v>55988</v>
      </c>
      <c r="D24" t="s">
        <v>97</v>
      </c>
      <c r="E24">
        <v>20247706</v>
      </c>
      <c r="F24" t="s">
        <v>31</v>
      </c>
      <c r="G24">
        <v>16853397</v>
      </c>
      <c r="H24">
        <v>64</v>
      </c>
      <c r="I24" t="s">
        <v>102</v>
      </c>
      <c r="J24">
        <v>116601558</v>
      </c>
      <c r="K24" t="s">
        <v>109</v>
      </c>
      <c r="L24">
        <v>1</v>
      </c>
      <c r="M24" t="s">
        <v>96</v>
      </c>
      <c r="N24">
        <v>598</v>
      </c>
      <c r="O24">
        <v>617</v>
      </c>
      <c r="P24" t="s">
        <v>125</v>
      </c>
    </row>
    <row r="25" spans="1:16" x14ac:dyDescent="0.25">
      <c r="A25">
        <v>72</v>
      </c>
      <c r="B25" s="2">
        <v>45947</v>
      </c>
      <c r="C25">
        <v>55989</v>
      </c>
      <c r="D25" t="s">
        <v>97</v>
      </c>
      <c r="E25">
        <v>20247806</v>
      </c>
      <c r="F25" t="s">
        <v>31</v>
      </c>
      <c r="G25">
        <v>16853397</v>
      </c>
      <c r="H25">
        <v>64</v>
      </c>
      <c r="I25" t="s">
        <v>102</v>
      </c>
      <c r="J25">
        <v>116601558</v>
      </c>
      <c r="K25" t="s">
        <v>109</v>
      </c>
      <c r="L25">
        <v>1</v>
      </c>
      <c r="M25" t="s">
        <v>96</v>
      </c>
      <c r="N25">
        <v>598</v>
      </c>
      <c r="O25">
        <v>617</v>
      </c>
      <c r="P25" t="s">
        <v>125</v>
      </c>
    </row>
    <row r="26" spans="1:16" x14ac:dyDescent="0.25">
      <c r="A26">
        <v>72</v>
      </c>
      <c r="B26" s="2">
        <v>45947</v>
      </c>
      <c r="C26">
        <v>55990</v>
      </c>
      <c r="D26" t="s">
        <v>97</v>
      </c>
      <c r="E26">
        <v>20247906</v>
      </c>
      <c r="F26" t="s">
        <v>31</v>
      </c>
      <c r="G26">
        <v>16853397</v>
      </c>
      <c r="H26">
        <v>64</v>
      </c>
      <c r="I26" t="s">
        <v>102</v>
      </c>
      <c r="J26">
        <v>116601558</v>
      </c>
      <c r="K26" t="s">
        <v>109</v>
      </c>
      <c r="L26">
        <v>1</v>
      </c>
      <c r="M26" t="s">
        <v>96</v>
      </c>
      <c r="N26">
        <v>598</v>
      </c>
      <c r="O26">
        <v>617</v>
      </c>
      <c r="P26" t="s">
        <v>125</v>
      </c>
    </row>
    <row r="27" spans="1:16" x14ac:dyDescent="0.25">
      <c r="A27">
        <v>72</v>
      </c>
      <c r="B27" s="2">
        <v>45947</v>
      </c>
      <c r="C27">
        <v>55991</v>
      </c>
      <c r="D27" t="s">
        <v>97</v>
      </c>
      <c r="E27">
        <v>20248006</v>
      </c>
      <c r="F27" t="s">
        <v>31</v>
      </c>
      <c r="G27">
        <v>16853397</v>
      </c>
      <c r="H27">
        <v>64</v>
      </c>
      <c r="I27" t="s">
        <v>102</v>
      </c>
      <c r="J27">
        <v>116601558</v>
      </c>
      <c r="K27" t="s">
        <v>109</v>
      </c>
      <c r="L27">
        <v>1</v>
      </c>
      <c r="M27" t="s">
        <v>96</v>
      </c>
      <c r="N27">
        <v>598</v>
      </c>
      <c r="O27">
        <v>617</v>
      </c>
      <c r="P27" t="s">
        <v>125</v>
      </c>
    </row>
    <row r="28" spans="1:16" x14ac:dyDescent="0.25">
      <c r="A28">
        <v>72</v>
      </c>
      <c r="B28" s="2">
        <v>45947</v>
      </c>
      <c r="C28">
        <v>55992</v>
      </c>
      <c r="D28" t="s">
        <v>97</v>
      </c>
      <c r="E28">
        <v>20248106</v>
      </c>
      <c r="F28" t="s">
        <v>31</v>
      </c>
      <c r="G28">
        <v>16853397</v>
      </c>
      <c r="H28">
        <v>64</v>
      </c>
      <c r="I28" t="s">
        <v>102</v>
      </c>
      <c r="J28">
        <v>116601558</v>
      </c>
      <c r="K28" t="s">
        <v>109</v>
      </c>
      <c r="L28">
        <v>1</v>
      </c>
      <c r="M28" t="s">
        <v>96</v>
      </c>
      <c r="N28">
        <v>598</v>
      </c>
      <c r="O28">
        <v>617</v>
      </c>
      <c r="P28" t="s">
        <v>125</v>
      </c>
    </row>
    <row r="29" spans="1:16" x14ac:dyDescent="0.25">
      <c r="A29">
        <v>72</v>
      </c>
      <c r="B29" s="2">
        <v>45947</v>
      </c>
      <c r="C29">
        <v>55993</v>
      </c>
      <c r="D29" t="s">
        <v>97</v>
      </c>
      <c r="E29">
        <v>20248206</v>
      </c>
      <c r="F29" t="s">
        <v>31</v>
      </c>
      <c r="G29">
        <v>16853397</v>
      </c>
      <c r="H29">
        <v>64</v>
      </c>
      <c r="I29" t="s">
        <v>102</v>
      </c>
      <c r="J29">
        <v>116601558</v>
      </c>
      <c r="K29" t="s">
        <v>109</v>
      </c>
      <c r="L29">
        <v>1</v>
      </c>
      <c r="M29" t="s">
        <v>96</v>
      </c>
      <c r="N29">
        <v>598</v>
      </c>
      <c r="O29">
        <v>617</v>
      </c>
      <c r="P29" t="s">
        <v>125</v>
      </c>
    </row>
    <row r="30" spans="1:16" x14ac:dyDescent="0.25">
      <c r="A30">
        <v>72</v>
      </c>
      <c r="B30" s="2">
        <v>45947</v>
      </c>
      <c r="C30">
        <v>155011</v>
      </c>
      <c r="D30" t="s">
        <v>12</v>
      </c>
      <c r="F30" t="s">
        <v>32</v>
      </c>
      <c r="G30">
        <v>16853397</v>
      </c>
      <c r="H30">
        <v>64</v>
      </c>
      <c r="I30" t="s">
        <v>102</v>
      </c>
      <c r="J30">
        <v>115600469</v>
      </c>
      <c r="K30" t="s">
        <v>135</v>
      </c>
      <c r="L30">
        <v>40</v>
      </c>
      <c r="M30" t="s">
        <v>35</v>
      </c>
      <c r="N30">
        <v>980</v>
      </c>
      <c r="O30">
        <v>999</v>
      </c>
      <c r="P30" t="s">
        <v>125</v>
      </c>
    </row>
    <row r="31" spans="1:16" x14ac:dyDescent="0.25">
      <c r="A31">
        <v>72</v>
      </c>
      <c r="B31" s="2">
        <v>45947</v>
      </c>
      <c r="C31">
        <v>155012</v>
      </c>
      <c r="D31" t="s">
        <v>12</v>
      </c>
      <c r="F31" t="s">
        <v>32</v>
      </c>
      <c r="G31">
        <v>16853397</v>
      </c>
      <c r="H31">
        <v>64</v>
      </c>
      <c r="I31" t="s">
        <v>102</v>
      </c>
      <c r="J31">
        <v>116001259</v>
      </c>
      <c r="K31" t="s">
        <v>40</v>
      </c>
      <c r="L31">
        <v>24</v>
      </c>
      <c r="M31" t="s">
        <v>39</v>
      </c>
      <c r="N31">
        <v>980</v>
      </c>
      <c r="O31">
        <v>999</v>
      </c>
      <c r="P31" t="s">
        <v>125</v>
      </c>
    </row>
    <row r="32" spans="1:16" x14ac:dyDescent="0.25">
      <c r="A32">
        <v>72</v>
      </c>
      <c r="B32" s="2">
        <v>45947</v>
      </c>
      <c r="C32">
        <v>155011</v>
      </c>
      <c r="D32" t="s">
        <v>12</v>
      </c>
      <c r="F32" t="s">
        <v>32</v>
      </c>
      <c r="G32">
        <v>16853397</v>
      </c>
      <c r="H32">
        <v>64</v>
      </c>
      <c r="I32" t="s">
        <v>102</v>
      </c>
      <c r="J32">
        <v>116001259</v>
      </c>
      <c r="K32" t="s">
        <v>40</v>
      </c>
      <c r="L32">
        <v>6</v>
      </c>
      <c r="M32" t="s">
        <v>39</v>
      </c>
      <c r="N32">
        <v>980</v>
      </c>
      <c r="O32">
        <v>999</v>
      </c>
      <c r="P32" t="s">
        <v>125</v>
      </c>
    </row>
    <row r="33" spans="1:16" x14ac:dyDescent="0.25">
      <c r="A33">
        <v>72</v>
      </c>
      <c r="B33" s="2">
        <v>45947</v>
      </c>
      <c r="C33">
        <v>155013</v>
      </c>
      <c r="D33" t="s">
        <v>12</v>
      </c>
      <c r="F33" t="s">
        <v>32</v>
      </c>
      <c r="G33">
        <v>16853397</v>
      </c>
      <c r="H33">
        <v>64</v>
      </c>
      <c r="I33" t="s">
        <v>102</v>
      </c>
      <c r="J33">
        <v>752402499</v>
      </c>
      <c r="K33" t="s">
        <v>36</v>
      </c>
      <c r="L33">
        <v>40</v>
      </c>
      <c r="M33" t="s">
        <v>30</v>
      </c>
      <c r="N33">
        <v>980</v>
      </c>
      <c r="O33">
        <v>999</v>
      </c>
      <c r="P33" t="s">
        <v>125</v>
      </c>
    </row>
  </sheetData>
  <autoFilter ref="A1:P33" xr:uid="{00000000-0001-0000-0300-000000000000}"/>
  <sortState xmlns:xlrd2="http://schemas.microsoft.com/office/spreadsheetml/2017/richdata2" ref="A2:P20">
    <sortCondition ref="J2:J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2"/>
  <dimension ref="A1:R33"/>
  <sheetViews>
    <sheetView workbookViewId="0">
      <selection activeCell="A9" sqref="A9"/>
    </sheetView>
  </sheetViews>
  <sheetFormatPr defaultRowHeight="15" x14ac:dyDescent="0.25"/>
  <cols>
    <col min="1" max="1" width="19.42578125" bestFit="1" customWidth="1"/>
    <col min="2" max="2" width="11.85546875" bestFit="1" customWidth="1"/>
    <col min="3" max="3" width="10" bestFit="1" customWidth="1"/>
    <col min="4" max="4" width="35.140625" bestFit="1" customWidth="1"/>
    <col min="5" max="5" width="6" bestFit="1" customWidth="1"/>
    <col min="6" max="6" width="3.85546875" bestFit="1" customWidth="1"/>
    <col min="7" max="7" width="13.140625" bestFit="1" customWidth="1"/>
    <col min="8" max="8" width="8" bestFit="1" customWidth="1"/>
    <col min="9" max="9" width="4.5703125" bestFit="1" customWidth="1"/>
    <col min="10" max="10" width="5.7109375" bestFit="1" customWidth="1"/>
    <col min="11" max="11" width="16.5703125" bestFit="1" customWidth="1"/>
    <col min="12" max="12" width="17" bestFit="1" customWidth="1"/>
    <col min="13" max="13" width="16.42578125" bestFit="1" customWidth="1"/>
    <col min="14" max="14" width="9" bestFit="1" customWidth="1"/>
    <col min="15" max="15" width="11.42578125" bestFit="1" customWidth="1"/>
    <col min="16" max="16" width="11.28515625" bestFit="1" customWidth="1"/>
    <col min="17" max="17" width="35.7109375" bestFit="1" customWidth="1"/>
    <col min="18" max="18" width="10" bestFit="1" customWidth="1"/>
  </cols>
  <sheetData>
    <row r="1" spans="1:18" x14ac:dyDescent="0.25">
      <c r="A1" t="s">
        <v>126</v>
      </c>
      <c r="B1" t="s">
        <v>45</v>
      </c>
      <c r="C1" t="s">
        <v>42</v>
      </c>
      <c r="D1" t="s">
        <v>43</v>
      </c>
      <c r="E1" t="s">
        <v>46</v>
      </c>
      <c r="F1" t="s">
        <v>44</v>
      </c>
      <c r="G1" t="s">
        <v>47</v>
      </c>
      <c r="H1" t="s">
        <v>41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s="1" t="s">
        <v>57</v>
      </c>
    </row>
    <row r="2" spans="1:18" x14ac:dyDescent="0.25">
      <c r="A2" t="str">
        <f>CONCATENATE(B2,H2,I2,J2)</f>
        <v>143245529013T4ZP06</v>
      </c>
      <c r="B2">
        <v>1432455</v>
      </c>
      <c r="C2" t="s">
        <v>94</v>
      </c>
      <c r="D2" t="s">
        <v>95</v>
      </c>
      <c r="E2">
        <v>1</v>
      </c>
      <c r="F2" t="s">
        <v>96</v>
      </c>
      <c r="G2" s="5" t="s">
        <v>58</v>
      </c>
      <c r="H2">
        <v>29013</v>
      </c>
      <c r="I2" t="s">
        <v>97</v>
      </c>
      <c r="J2" t="s">
        <v>98</v>
      </c>
      <c r="K2" t="s">
        <v>59</v>
      </c>
      <c r="L2" t="s">
        <v>99</v>
      </c>
      <c r="M2">
        <v>1432477</v>
      </c>
      <c r="N2" t="s">
        <v>100</v>
      </c>
      <c r="O2" t="s">
        <v>101</v>
      </c>
      <c r="P2">
        <v>16853397</v>
      </c>
      <c r="Q2" t="s">
        <v>102</v>
      </c>
      <c r="R2" s="4" t="s">
        <v>103</v>
      </c>
    </row>
    <row r="3" spans="1:18" x14ac:dyDescent="0.25">
      <c r="A3" t="str">
        <f t="shared" ref="A3:A26" si="0">CONCATENATE(B3,H3,I3,J3)</f>
        <v>143245529014T4ZP06</v>
      </c>
      <c r="B3">
        <v>1432455</v>
      </c>
      <c r="C3" t="s">
        <v>94</v>
      </c>
      <c r="D3" t="s">
        <v>95</v>
      </c>
      <c r="E3">
        <v>1</v>
      </c>
      <c r="F3" t="s">
        <v>96</v>
      </c>
      <c r="G3" s="5" t="s">
        <v>58</v>
      </c>
      <c r="H3">
        <v>29014</v>
      </c>
      <c r="I3" t="s">
        <v>97</v>
      </c>
      <c r="J3" t="s">
        <v>98</v>
      </c>
      <c r="K3" t="s">
        <v>59</v>
      </c>
      <c r="L3" t="s">
        <v>99</v>
      </c>
      <c r="M3">
        <v>1432477</v>
      </c>
      <c r="N3" t="s">
        <v>100</v>
      </c>
      <c r="O3" t="s">
        <v>101</v>
      </c>
      <c r="P3">
        <v>16853397</v>
      </c>
      <c r="Q3" t="s">
        <v>102</v>
      </c>
      <c r="R3" s="4" t="s">
        <v>103</v>
      </c>
    </row>
    <row r="4" spans="1:18" x14ac:dyDescent="0.25">
      <c r="A4" t="str">
        <f t="shared" si="0"/>
        <v>143245529015T4ZP06</v>
      </c>
      <c r="B4">
        <v>1432455</v>
      </c>
      <c r="C4" t="s">
        <v>94</v>
      </c>
      <c r="D4" t="s">
        <v>95</v>
      </c>
      <c r="E4">
        <v>1</v>
      </c>
      <c r="F4" t="s">
        <v>96</v>
      </c>
      <c r="G4" s="5" t="s">
        <v>58</v>
      </c>
      <c r="H4">
        <v>29015</v>
      </c>
      <c r="I4" t="s">
        <v>97</v>
      </c>
      <c r="J4" t="s">
        <v>98</v>
      </c>
      <c r="K4" t="s">
        <v>59</v>
      </c>
      <c r="L4" t="s">
        <v>99</v>
      </c>
      <c r="M4">
        <v>1432477</v>
      </c>
      <c r="N4" t="s">
        <v>100</v>
      </c>
      <c r="O4" t="s">
        <v>101</v>
      </c>
      <c r="P4">
        <v>16853397</v>
      </c>
      <c r="Q4" t="s">
        <v>102</v>
      </c>
      <c r="R4" s="4" t="s">
        <v>103</v>
      </c>
    </row>
    <row r="5" spans="1:18" x14ac:dyDescent="0.25">
      <c r="A5" t="str">
        <f t="shared" si="0"/>
        <v>143245529016T4ZP06</v>
      </c>
      <c r="B5">
        <v>1432455</v>
      </c>
      <c r="C5" t="s">
        <v>94</v>
      </c>
      <c r="D5" t="s">
        <v>95</v>
      </c>
      <c r="E5">
        <v>1</v>
      </c>
      <c r="F5" t="s">
        <v>96</v>
      </c>
      <c r="G5" s="5" t="s">
        <v>58</v>
      </c>
      <c r="H5">
        <v>29016</v>
      </c>
      <c r="I5" t="s">
        <v>97</v>
      </c>
      <c r="J5" t="s">
        <v>98</v>
      </c>
      <c r="K5" t="s">
        <v>59</v>
      </c>
      <c r="L5" t="s">
        <v>99</v>
      </c>
      <c r="M5">
        <v>1432477</v>
      </c>
      <c r="N5" t="s">
        <v>100</v>
      </c>
      <c r="O5" t="s">
        <v>101</v>
      </c>
      <c r="P5">
        <v>16853397</v>
      </c>
      <c r="Q5" t="s">
        <v>102</v>
      </c>
      <c r="R5" s="4" t="s">
        <v>103</v>
      </c>
    </row>
    <row r="6" spans="1:18" x14ac:dyDescent="0.25">
      <c r="A6" t="str">
        <f t="shared" si="0"/>
        <v>143290029765T4ZP22</v>
      </c>
      <c r="B6">
        <v>1432900</v>
      </c>
      <c r="C6" t="s">
        <v>108</v>
      </c>
      <c r="D6" t="s">
        <v>109</v>
      </c>
      <c r="E6">
        <v>1</v>
      </c>
      <c r="F6" t="s">
        <v>96</v>
      </c>
      <c r="G6" s="5">
        <v>299</v>
      </c>
      <c r="H6">
        <v>29765</v>
      </c>
      <c r="I6" t="s">
        <v>97</v>
      </c>
      <c r="J6" t="s">
        <v>110</v>
      </c>
      <c r="K6" t="s">
        <v>93</v>
      </c>
      <c r="L6" t="s">
        <v>111</v>
      </c>
      <c r="M6">
        <v>1471030</v>
      </c>
      <c r="N6" t="s">
        <v>100</v>
      </c>
      <c r="O6" t="s">
        <v>101</v>
      </c>
      <c r="P6">
        <v>16853397</v>
      </c>
      <c r="Q6" t="s">
        <v>102</v>
      </c>
      <c r="R6" t="s">
        <v>103</v>
      </c>
    </row>
    <row r="7" spans="1:18" x14ac:dyDescent="0.25">
      <c r="A7" t="str">
        <f t="shared" si="0"/>
        <v>147012355985T4ZP22</v>
      </c>
      <c r="B7">
        <v>1470123</v>
      </c>
      <c r="C7" t="s">
        <v>108</v>
      </c>
      <c r="D7" t="s">
        <v>109</v>
      </c>
      <c r="E7">
        <v>1</v>
      </c>
      <c r="F7" t="s">
        <v>96</v>
      </c>
      <c r="G7" s="5">
        <v>299</v>
      </c>
      <c r="H7">
        <v>55985</v>
      </c>
      <c r="I7" t="s">
        <v>97</v>
      </c>
      <c r="J7" t="s">
        <v>110</v>
      </c>
      <c r="K7" t="s">
        <v>93</v>
      </c>
      <c r="L7" t="s">
        <v>111</v>
      </c>
      <c r="M7">
        <v>1471030</v>
      </c>
      <c r="N7" t="s">
        <v>100</v>
      </c>
      <c r="O7" t="s">
        <v>101</v>
      </c>
      <c r="P7">
        <v>16853397</v>
      </c>
      <c r="Q7" t="s">
        <v>102</v>
      </c>
      <c r="R7" t="s">
        <v>103</v>
      </c>
    </row>
    <row r="8" spans="1:18" x14ac:dyDescent="0.25">
      <c r="A8" t="str">
        <f t="shared" si="0"/>
        <v>147012355986T4ZP22</v>
      </c>
      <c r="B8">
        <v>1470123</v>
      </c>
      <c r="C8" t="s">
        <v>108</v>
      </c>
      <c r="D8" t="s">
        <v>109</v>
      </c>
      <c r="E8">
        <v>1</v>
      </c>
      <c r="F8" t="s">
        <v>96</v>
      </c>
      <c r="G8" s="5">
        <v>299</v>
      </c>
      <c r="H8">
        <v>55986</v>
      </c>
      <c r="I8" t="s">
        <v>97</v>
      </c>
      <c r="J8" t="s">
        <v>110</v>
      </c>
      <c r="K8" t="s">
        <v>93</v>
      </c>
      <c r="L8" t="s">
        <v>111</v>
      </c>
      <c r="M8">
        <v>1471030</v>
      </c>
      <c r="N8" t="s">
        <v>100</v>
      </c>
      <c r="O8" t="s">
        <v>101</v>
      </c>
      <c r="P8">
        <v>16853397</v>
      </c>
      <c r="Q8" t="s">
        <v>102</v>
      </c>
      <c r="R8" t="s">
        <v>103</v>
      </c>
    </row>
    <row r="9" spans="1:18" x14ac:dyDescent="0.25">
      <c r="A9" t="str">
        <f t="shared" si="0"/>
        <v>147012355987T4ZP22</v>
      </c>
      <c r="B9">
        <v>1470123</v>
      </c>
      <c r="C9" t="s">
        <v>108</v>
      </c>
      <c r="D9" t="s">
        <v>109</v>
      </c>
      <c r="E9">
        <v>1</v>
      </c>
      <c r="F9" t="s">
        <v>96</v>
      </c>
      <c r="G9" s="5">
        <v>299</v>
      </c>
      <c r="H9">
        <v>55987</v>
      </c>
      <c r="I9" t="s">
        <v>97</v>
      </c>
      <c r="J9" t="s">
        <v>110</v>
      </c>
      <c r="K9" t="s">
        <v>93</v>
      </c>
      <c r="L9" t="s">
        <v>111</v>
      </c>
      <c r="M9">
        <v>1471030</v>
      </c>
      <c r="N9" t="s">
        <v>100</v>
      </c>
      <c r="O9" t="s">
        <v>101</v>
      </c>
      <c r="P9">
        <v>16853397</v>
      </c>
      <c r="Q9" t="s">
        <v>102</v>
      </c>
      <c r="R9" t="s">
        <v>103</v>
      </c>
    </row>
    <row r="10" spans="1:18" x14ac:dyDescent="0.25">
      <c r="A10" t="str">
        <f t="shared" si="0"/>
        <v>147012355988T4ZP22</v>
      </c>
      <c r="B10">
        <v>1470123</v>
      </c>
      <c r="C10" t="s">
        <v>108</v>
      </c>
      <c r="D10" t="s">
        <v>109</v>
      </c>
      <c r="E10">
        <v>1</v>
      </c>
      <c r="F10" t="s">
        <v>96</v>
      </c>
      <c r="G10" s="5">
        <v>299</v>
      </c>
      <c r="H10">
        <v>55988</v>
      </c>
      <c r="I10" t="s">
        <v>97</v>
      </c>
      <c r="J10" t="s">
        <v>110</v>
      </c>
      <c r="K10" t="s">
        <v>93</v>
      </c>
      <c r="L10" t="s">
        <v>111</v>
      </c>
      <c r="M10">
        <v>1471030</v>
      </c>
      <c r="N10" t="s">
        <v>100</v>
      </c>
      <c r="O10" t="s">
        <v>101</v>
      </c>
      <c r="P10">
        <v>16853397</v>
      </c>
      <c r="Q10" t="s">
        <v>102</v>
      </c>
      <c r="R10" t="s">
        <v>103</v>
      </c>
    </row>
    <row r="11" spans="1:18" x14ac:dyDescent="0.25">
      <c r="A11" t="str">
        <f t="shared" si="0"/>
        <v>147012355989T4ZP22</v>
      </c>
      <c r="B11">
        <v>1470123</v>
      </c>
      <c r="C11" t="s">
        <v>108</v>
      </c>
      <c r="D11" t="s">
        <v>109</v>
      </c>
      <c r="E11">
        <v>1</v>
      </c>
      <c r="F11" t="s">
        <v>96</v>
      </c>
      <c r="G11" s="5">
        <v>299</v>
      </c>
      <c r="H11">
        <v>55989</v>
      </c>
      <c r="I11" t="s">
        <v>97</v>
      </c>
      <c r="J11" t="s">
        <v>110</v>
      </c>
      <c r="K11" t="s">
        <v>93</v>
      </c>
      <c r="L11" t="s">
        <v>111</v>
      </c>
      <c r="M11">
        <v>1471030</v>
      </c>
      <c r="N11" t="s">
        <v>100</v>
      </c>
      <c r="O11" t="s">
        <v>101</v>
      </c>
      <c r="P11">
        <v>16853397</v>
      </c>
      <c r="Q11" t="s">
        <v>102</v>
      </c>
      <c r="R11" t="s">
        <v>103</v>
      </c>
    </row>
    <row r="12" spans="1:18" x14ac:dyDescent="0.25">
      <c r="A12" t="str">
        <f t="shared" si="0"/>
        <v>147012355990T4ZP22</v>
      </c>
      <c r="B12">
        <v>1470123</v>
      </c>
      <c r="C12" t="s">
        <v>108</v>
      </c>
      <c r="D12" t="s">
        <v>109</v>
      </c>
      <c r="E12">
        <v>1</v>
      </c>
      <c r="F12" t="s">
        <v>96</v>
      </c>
      <c r="G12" s="5">
        <v>299</v>
      </c>
      <c r="H12">
        <v>55990</v>
      </c>
      <c r="I12" t="s">
        <v>97</v>
      </c>
      <c r="J12" t="s">
        <v>110</v>
      </c>
      <c r="K12" t="s">
        <v>93</v>
      </c>
      <c r="L12" t="s">
        <v>111</v>
      </c>
      <c r="M12">
        <v>1471030</v>
      </c>
      <c r="N12" t="s">
        <v>100</v>
      </c>
      <c r="O12" t="s">
        <v>101</v>
      </c>
      <c r="P12">
        <v>16853397</v>
      </c>
      <c r="Q12" t="s">
        <v>102</v>
      </c>
      <c r="R12" t="s">
        <v>103</v>
      </c>
    </row>
    <row r="13" spans="1:18" x14ac:dyDescent="0.25">
      <c r="A13" t="str">
        <f t="shared" si="0"/>
        <v>147012355991T4ZP22</v>
      </c>
      <c r="B13">
        <v>1470123</v>
      </c>
      <c r="C13" t="s">
        <v>108</v>
      </c>
      <c r="D13" t="s">
        <v>109</v>
      </c>
      <c r="E13">
        <v>1</v>
      </c>
      <c r="F13" t="s">
        <v>96</v>
      </c>
      <c r="G13" s="5">
        <v>299</v>
      </c>
      <c r="H13">
        <v>55991</v>
      </c>
      <c r="I13" t="s">
        <v>97</v>
      </c>
      <c r="J13" t="s">
        <v>110</v>
      </c>
      <c r="K13" t="s">
        <v>93</v>
      </c>
      <c r="L13" t="s">
        <v>111</v>
      </c>
      <c r="M13">
        <v>1471030</v>
      </c>
      <c r="N13" t="s">
        <v>100</v>
      </c>
      <c r="O13" t="s">
        <v>101</v>
      </c>
      <c r="P13">
        <v>16853397</v>
      </c>
      <c r="Q13" t="s">
        <v>102</v>
      </c>
      <c r="R13" t="s">
        <v>103</v>
      </c>
    </row>
    <row r="14" spans="1:18" x14ac:dyDescent="0.25">
      <c r="A14" t="str">
        <f t="shared" si="0"/>
        <v>147012355992T4ZP22</v>
      </c>
      <c r="B14">
        <v>1470123</v>
      </c>
      <c r="C14" t="s">
        <v>108</v>
      </c>
      <c r="D14" t="s">
        <v>109</v>
      </c>
      <c r="E14">
        <v>1</v>
      </c>
      <c r="F14" t="s">
        <v>96</v>
      </c>
      <c r="G14" s="5">
        <v>299</v>
      </c>
      <c r="H14">
        <v>55992</v>
      </c>
      <c r="I14" t="s">
        <v>97</v>
      </c>
      <c r="J14" t="s">
        <v>110</v>
      </c>
      <c r="K14" t="s">
        <v>93</v>
      </c>
      <c r="L14" t="s">
        <v>111</v>
      </c>
      <c r="M14">
        <v>1471030</v>
      </c>
      <c r="N14" t="s">
        <v>100</v>
      </c>
      <c r="O14" t="s">
        <v>101</v>
      </c>
      <c r="P14">
        <v>16853397</v>
      </c>
      <c r="Q14" t="s">
        <v>102</v>
      </c>
      <c r="R14" t="s">
        <v>103</v>
      </c>
    </row>
    <row r="15" spans="1:18" x14ac:dyDescent="0.25">
      <c r="A15" t="str">
        <f t="shared" si="0"/>
        <v>147012355993T4ZP22</v>
      </c>
      <c r="B15">
        <v>1470123</v>
      </c>
      <c r="C15" t="s">
        <v>108</v>
      </c>
      <c r="D15" t="s">
        <v>109</v>
      </c>
      <c r="E15">
        <v>1</v>
      </c>
      <c r="F15" t="s">
        <v>96</v>
      </c>
      <c r="G15" s="5">
        <v>299</v>
      </c>
      <c r="H15">
        <v>55993</v>
      </c>
      <c r="I15" t="s">
        <v>97</v>
      </c>
      <c r="J15" t="s">
        <v>110</v>
      </c>
      <c r="K15" t="s">
        <v>93</v>
      </c>
      <c r="L15" t="s">
        <v>111</v>
      </c>
      <c r="M15">
        <v>1471030</v>
      </c>
      <c r="N15" t="s">
        <v>100</v>
      </c>
      <c r="O15" t="s">
        <v>101</v>
      </c>
      <c r="P15">
        <v>16853397</v>
      </c>
      <c r="Q15" t="s">
        <v>102</v>
      </c>
      <c r="R15" t="s">
        <v>103</v>
      </c>
    </row>
    <row r="16" spans="1:18" x14ac:dyDescent="0.25">
      <c r="A16" t="str">
        <f t="shared" si="0"/>
        <v>143245529017T4ZP17</v>
      </c>
      <c r="B16">
        <v>1432455</v>
      </c>
      <c r="C16" t="s">
        <v>104</v>
      </c>
      <c r="D16" t="s">
        <v>105</v>
      </c>
      <c r="E16">
        <v>1</v>
      </c>
      <c r="F16" t="s">
        <v>96</v>
      </c>
      <c r="G16" s="5">
        <v>200</v>
      </c>
      <c r="H16">
        <v>29017</v>
      </c>
      <c r="I16" t="s">
        <v>97</v>
      </c>
      <c r="J16" t="s">
        <v>106</v>
      </c>
      <c r="L16" t="s">
        <v>107</v>
      </c>
      <c r="N16" t="s">
        <v>100</v>
      </c>
      <c r="O16" t="s">
        <v>101</v>
      </c>
      <c r="P16">
        <v>16853397</v>
      </c>
      <c r="Q16" t="s">
        <v>102</v>
      </c>
      <c r="R16" s="4" t="s">
        <v>103</v>
      </c>
    </row>
    <row r="17" spans="1:18" x14ac:dyDescent="0.25">
      <c r="A17" t="str">
        <f t="shared" si="0"/>
        <v>143245529018T4ZP17</v>
      </c>
      <c r="B17">
        <v>1432455</v>
      </c>
      <c r="C17" t="s">
        <v>104</v>
      </c>
      <c r="D17" t="s">
        <v>105</v>
      </c>
      <c r="E17">
        <v>1</v>
      </c>
      <c r="F17" t="s">
        <v>96</v>
      </c>
      <c r="G17" s="5">
        <v>200</v>
      </c>
      <c r="H17">
        <v>29018</v>
      </c>
      <c r="I17" t="s">
        <v>97</v>
      </c>
      <c r="J17" t="s">
        <v>106</v>
      </c>
      <c r="L17" t="s">
        <v>107</v>
      </c>
      <c r="N17" t="s">
        <v>100</v>
      </c>
      <c r="O17" t="s">
        <v>101</v>
      </c>
      <c r="P17">
        <v>16853397</v>
      </c>
      <c r="Q17" t="s">
        <v>102</v>
      </c>
      <c r="R17" s="4" t="s">
        <v>103</v>
      </c>
    </row>
    <row r="18" spans="1:18" x14ac:dyDescent="0.25">
      <c r="A18" t="str">
        <f t="shared" si="0"/>
        <v>143245529019T4ZP17</v>
      </c>
      <c r="B18">
        <v>1432455</v>
      </c>
      <c r="C18" t="s">
        <v>104</v>
      </c>
      <c r="D18" t="s">
        <v>105</v>
      </c>
      <c r="E18">
        <v>1</v>
      </c>
      <c r="F18" t="s">
        <v>96</v>
      </c>
      <c r="G18" s="5">
        <v>200</v>
      </c>
      <c r="H18">
        <v>29019</v>
      </c>
      <c r="I18" t="s">
        <v>97</v>
      </c>
      <c r="J18" t="s">
        <v>106</v>
      </c>
      <c r="L18" t="s">
        <v>107</v>
      </c>
      <c r="N18" t="s">
        <v>100</v>
      </c>
      <c r="O18" t="s">
        <v>101</v>
      </c>
      <c r="P18">
        <v>16853397</v>
      </c>
      <c r="Q18" t="s">
        <v>102</v>
      </c>
      <c r="R18" t="s">
        <v>103</v>
      </c>
    </row>
    <row r="19" spans="1:18" x14ac:dyDescent="0.25">
      <c r="A19" t="str">
        <f t="shared" si="0"/>
        <v>143305730330T4ZP17</v>
      </c>
      <c r="B19">
        <v>1433057</v>
      </c>
      <c r="C19" t="s">
        <v>104</v>
      </c>
      <c r="D19" t="s">
        <v>105</v>
      </c>
      <c r="E19">
        <v>1</v>
      </c>
      <c r="F19" t="s">
        <v>96</v>
      </c>
      <c r="G19" s="5">
        <v>200</v>
      </c>
      <c r="H19">
        <v>30330</v>
      </c>
      <c r="I19" t="s">
        <v>97</v>
      </c>
      <c r="J19" t="s">
        <v>106</v>
      </c>
      <c r="L19" t="s">
        <v>107</v>
      </c>
      <c r="N19" t="s">
        <v>100</v>
      </c>
      <c r="O19" t="s">
        <v>101</v>
      </c>
      <c r="P19">
        <v>16853397</v>
      </c>
      <c r="Q19" t="s">
        <v>102</v>
      </c>
      <c r="R19" t="s">
        <v>103</v>
      </c>
    </row>
    <row r="20" spans="1:18" x14ac:dyDescent="0.25">
      <c r="A20" t="str">
        <f t="shared" si="0"/>
        <v>143305730331T4ZP17</v>
      </c>
      <c r="B20">
        <v>1433057</v>
      </c>
      <c r="C20" t="s">
        <v>104</v>
      </c>
      <c r="D20" t="s">
        <v>105</v>
      </c>
      <c r="E20">
        <v>1</v>
      </c>
      <c r="F20" t="s">
        <v>96</v>
      </c>
      <c r="G20" s="5">
        <v>200</v>
      </c>
      <c r="H20">
        <v>30331</v>
      </c>
      <c r="I20" t="s">
        <v>97</v>
      </c>
      <c r="J20" t="s">
        <v>106</v>
      </c>
      <c r="L20" t="s">
        <v>107</v>
      </c>
      <c r="N20" t="s">
        <v>100</v>
      </c>
      <c r="O20" t="s">
        <v>101</v>
      </c>
      <c r="P20">
        <v>16853397</v>
      </c>
      <c r="Q20" t="s">
        <v>102</v>
      </c>
      <c r="R20" t="s">
        <v>103</v>
      </c>
    </row>
    <row r="21" spans="1:18" x14ac:dyDescent="0.25">
      <c r="A21" t="str">
        <f t="shared" si="0"/>
        <v>1433129155011FMZM03</v>
      </c>
      <c r="B21">
        <v>1433129</v>
      </c>
      <c r="C21" t="s">
        <v>112</v>
      </c>
      <c r="D21" t="s">
        <v>113</v>
      </c>
      <c r="E21">
        <v>10</v>
      </c>
      <c r="F21" t="s">
        <v>30</v>
      </c>
      <c r="G21" s="5">
        <v>299</v>
      </c>
      <c r="H21">
        <v>155011</v>
      </c>
      <c r="I21" t="s">
        <v>12</v>
      </c>
      <c r="J21" t="s">
        <v>114</v>
      </c>
      <c r="K21" t="s">
        <v>59</v>
      </c>
      <c r="L21" t="s">
        <v>115</v>
      </c>
      <c r="M21">
        <v>1433140</v>
      </c>
      <c r="N21" t="s">
        <v>100</v>
      </c>
      <c r="O21" t="s">
        <v>101</v>
      </c>
      <c r="P21">
        <v>16853397</v>
      </c>
      <c r="Q21" t="s">
        <v>102</v>
      </c>
      <c r="R21" t="s">
        <v>103</v>
      </c>
    </row>
    <row r="22" spans="1:18" x14ac:dyDescent="0.25">
      <c r="A22" t="str">
        <f t="shared" si="0"/>
        <v>1433150155011FMZM28</v>
      </c>
      <c r="B22">
        <v>1433150</v>
      </c>
      <c r="C22" s="1" t="s">
        <v>116</v>
      </c>
      <c r="D22" t="s">
        <v>117</v>
      </c>
      <c r="E22">
        <v>100</v>
      </c>
      <c r="F22" t="s">
        <v>33</v>
      </c>
      <c r="G22" t="s">
        <v>58</v>
      </c>
      <c r="H22">
        <v>155011</v>
      </c>
      <c r="I22" t="s">
        <v>12</v>
      </c>
      <c r="J22" t="s">
        <v>13</v>
      </c>
      <c r="K22" t="s">
        <v>59</v>
      </c>
      <c r="L22" t="s">
        <v>60</v>
      </c>
      <c r="N22" t="s">
        <v>100</v>
      </c>
      <c r="O22" t="s">
        <v>101</v>
      </c>
      <c r="P22">
        <v>16853397</v>
      </c>
      <c r="Q22" t="s">
        <v>102</v>
      </c>
      <c r="R22" t="s">
        <v>103</v>
      </c>
    </row>
    <row r="23" spans="1:18" x14ac:dyDescent="0.25">
      <c r="A23" t="str">
        <f t="shared" si="0"/>
        <v>1433150155011FMZM28</v>
      </c>
      <c r="B23">
        <v>1433150</v>
      </c>
      <c r="C23" t="s">
        <v>61</v>
      </c>
      <c r="D23" t="s">
        <v>34</v>
      </c>
      <c r="E23">
        <v>100</v>
      </c>
      <c r="F23" t="s">
        <v>33</v>
      </c>
      <c r="G23" t="s">
        <v>58</v>
      </c>
      <c r="H23">
        <v>155011</v>
      </c>
      <c r="I23" t="s">
        <v>12</v>
      </c>
      <c r="J23" t="s">
        <v>13</v>
      </c>
      <c r="K23" t="s">
        <v>59</v>
      </c>
      <c r="L23" t="s">
        <v>60</v>
      </c>
      <c r="N23" t="s">
        <v>100</v>
      </c>
      <c r="O23" t="s">
        <v>101</v>
      </c>
      <c r="P23">
        <v>16853397</v>
      </c>
      <c r="Q23" t="s">
        <v>102</v>
      </c>
      <c r="R23" t="s">
        <v>103</v>
      </c>
    </row>
    <row r="24" spans="1:18" x14ac:dyDescent="0.25">
      <c r="A24" t="str">
        <f t="shared" si="0"/>
        <v>1433150155011FMZM28</v>
      </c>
      <c r="B24">
        <v>1433150</v>
      </c>
      <c r="C24" t="s">
        <v>62</v>
      </c>
      <c r="D24" t="s">
        <v>37</v>
      </c>
      <c r="E24">
        <v>100</v>
      </c>
      <c r="F24" t="s">
        <v>33</v>
      </c>
      <c r="G24" t="s">
        <v>58</v>
      </c>
      <c r="H24">
        <v>155011</v>
      </c>
      <c r="I24" t="s">
        <v>12</v>
      </c>
      <c r="J24" t="s">
        <v>13</v>
      </c>
      <c r="K24" t="s">
        <v>59</v>
      </c>
      <c r="L24" t="s">
        <v>60</v>
      </c>
      <c r="N24" t="s">
        <v>100</v>
      </c>
      <c r="O24" t="s">
        <v>101</v>
      </c>
      <c r="P24">
        <v>16853397</v>
      </c>
      <c r="Q24" t="s">
        <v>102</v>
      </c>
      <c r="R24" t="s">
        <v>103</v>
      </c>
    </row>
    <row r="25" spans="1:18" x14ac:dyDescent="0.25">
      <c r="A25" t="str">
        <f t="shared" si="0"/>
        <v>1433368155011FMZM28</v>
      </c>
      <c r="B25">
        <v>1433368</v>
      </c>
      <c r="C25" t="s">
        <v>118</v>
      </c>
      <c r="D25" t="s">
        <v>119</v>
      </c>
      <c r="E25">
        <v>100</v>
      </c>
      <c r="F25" t="s">
        <v>33</v>
      </c>
      <c r="G25" t="s">
        <v>58</v>
      </c>
      <c r="H25">
        <v>155011</v>
      </c>
      <c r="I25" t="s">
        <v>12</v>
      </c>
      <c r="J25" t="s">
        <v>13</v>
      </c>
      <c r="K25" t="s">
        <v>59</v>
      </c>
      <c r="L25" t="s">
        <v>120</v>
      </c>
      <c r="N25" t="s">
        <v>100</v>
      </c>
      <c r="O25" t="s">
        <v>101</v>
      </c>
      <c r="P25">
        <v>16853397</v>
      </c>
      <c r="Q25" t="s">
        <v>102</v>
      </c>
      <c r="R25" t="s">
        <v>103</v>
      </c>
    </row>
    <row r="26" spans="1:18" x14ac:dyDescent="0.25">
      <c r="A26" t="str">
        <f t="shared" si="0"/>
        <v>1433380155011FMZM10</v>
      </c>
      <c r="B26">
        <v>1433380</v>
      </c>
      <c r="C26" t="s">
        <v>121</v>
      </c>
      <c r="D26" t="s">
        <v>122</v>
      </c>
      <c r="E26">
        <v>20</v>
      </c>
      <c r="F26" t="s">
        <v>35</v>
      </c>
      <c r="G26" t="s">
        <v>58</v>
      </c>
      <c r="H26">
        <v>155011</v>
      </c>
      <c r="I26" t="s">
        <v>12</v>
      </c>
      <c r="J26" t="s">
        <v>123</v>
      </c>
      <c r="K26" t="s">
        <v>59</v>
      </c>
      <c r="L26" t="s">
        <v>124</v>
      </c>
      <c r="M26">
        <v>1433382</v>
      </c>
      <c r="N26" t="s">
        <v>100</v>
      </c>
      <c r="O26" t="s">
        <v>101</v>
      </c>
      <c r="P26">
        <v>16853397</v>
      </c>
      <c r="Q26" t="s">
        <v>102</v>
      </c>
      <c r="R26" t="s">
        <v>103</v>
      </c>
    </row>
    <row r="27" spans="1:18" x14ac:dyDescent="0.25">
      <c r="A27" t="str">
        <f t="shared" ref="A27:A32" si="1">CONCATENATE(B27,H27,I27,J27)</f>
        <v>1433129155011FMZM03</v>
      </c>
      <c r="B27">
        <v>1433129</v>
      </c>
      <c r="C27" t="s">
        <v>112</v>
      </c>
      <c r="D27" t="s">
        <v>113</v>
      </c>
      <c r="E27">
        <v>10</v>
      </c>
      <c r="F27" t="s">
        <v>30</v>
      </c>
      <c r="G27" s="6">
        <v>291</v>
      </c>
      <c r="H27">
        <v>155011</v>
      </c>
      <c r="I27" t="s">
        <v>12</v>
      </c>
      <c r="J27" t="s">
        <v>114</v>
      </c>
      <c r="K27" t="s">
        <v>59</v>
      </c>
      <c r="L27" t="s">
        <v>115</v>
      </c>
      <c r="M27">
        <v>1433140</v>
      </c>
      <c r="N27" t="s">
        <v>100</v>
      </c>
      <c r="O27" t="s">
        <v>101</v>
      </c>
      <c r="P27">
        <v>16853397</v>
      </c>
      <c r="Q27" t="s">
        <v>102</v>
      </c>
      <c r="R27" t="s">
        <v>103</v>
      </c>
    </row>
    <row r="28" spans="1:18" x14ac:dyDescent="0.25">
      <c r="A28" t="str">
        <f t="shared" si="1"/>
        <v>1433150155011FMZM28</v>
      </c>
      <c r="B28">
        <v>1433150</v>
      </c>
      <c r="C28" t="s">
        <v>116</v>
      </c>
      <c r="D28" t="s">
        <v>117</v>
      </c>
      <c r="E28">
        <v>100</v>
      </c>
      <c r="F28" t="s">
        <v>33</v>
      </c>
      <c r="G28" s="6">
        <v>291</v>
      </c>
      <c r="H28">
        <v>155011</v>
      </c>
      <c r="I28" t="s">
        <v>12</v>
      </c>
      <c r="J28" t="s">
        <v>13</v>
      </c>
      <c r="K28" t="s">
        <v>59</v>
      </c>
      <c r="L28" t="s">
        <v>60</v>
      </c>
      <c r="N28" t="s">
        <v>100</v>
      </c>
      <c r="O28" t="s">
        <v>101</v>
      </c>
      <c r="P28">
        <v>16853397</v>
      </c>
      <c r="Q28" t="s">
        <v>102</v>
      </c>
      <c r="R28" t="s">
        <v>103</v>
      </c>
    </row>
    <row r="29" spans="1:18" x14ac:dyDescent="0.25">
      <c r="A29" t="str">
        <f t="shared" si="1"/>
        <v>1433150155011FMZM28</v>
      </c>
      <c r="B29">
        <v>1433150</v>
      </c>
      <c r="C29" t="s">
        <v>61</v>
      </c>
      <c r="D29" t="s">
        <v>34</v>
      </c>
      <c r="E29">
        <v>100</v>
      </c>
      <c r="F29" t="s">
        <v>33</v>
      </c>
      <c r="G29" s="6">
        <v>291</v>
      </c>
      <c r="H29">
        <v>155011</v>
      </c>
      <c r="I29" t="s">
        <v>12</v>
      </c>
      <c r="J29" t="s">
        <v>13</v>
      </c>
      <c r="K29" t="s">
        <v>59</v>
      </c>
      <c r="L29" t="s">
        <v>60</v>
      </c>
      <c r="N29" t="s">
        <v>100</v>
      </c>
      <c r="O29" t="s">
        <v>101</v>
      </c>
      <c r="P29">
        <v>16853397</v>
      </c>
      <c r="Q29" t="s">
        <v>102</v>
      </c>
      <c r="R29" t="s">
        <v>103</v>
      </c>
    </row>
    <row r="30" spans="1:18" x14ac:dyDescent="0.25">
      <c r="A30" t="str">
        <f t="shared" si="1"/>
        <v>1433150155011FMZM28</v>
      </c>
      <c r="B30">
        <v>1433150</v>
      </c>
      <c r="C30" t="s">
        <v>62</v>
      </c>
      <c r="D30" t="s">
        <v>37</v>
      </c>
      <c r="E30">
        <v>100</v>
      </c>
      <c r="F30" t="s">
        <v>33</v>
      </c>
      <c r="G30" s="6">
        <v>291</v>
      </c>
      <c r="H30">
        <v>155011</v>
      </c>
      <c r="I30" t="s">
        <v>12</v>
      </c>
      <c r="J30" t="s">
        <v>13</v>
      </c>
      <c r="K30" t="s">
        <v>59</v>
      </c>
      <c r="L30" t="s">
        <v>60</v>
      </c>
      <c r="N30" t="s">
        <v>100</v>
      </c>
      <c r="O30" t="s">
        <v>101</v>
      </c>
      <c r="P30">
        <v>16853397</v>
      </c>
      <c r="Q30" t="s">
        <v>102</v>
      </c>
      <c r="R30" t="s">
        <v>103</v>
      </c>
    </row>
    <row r="31" spans="1:18" x14ac:dyDescent="0.25">
      <c r="A31" t="str">
        <f t="shared" si="1"/>
        <v>1433368155011FMZM28</v>
      </c>
      <c r="B31">
        <v>1433368</v>
      </c>
      <c r="C31" t="s">
        <v>118</v>
      </c>
      <c r="D31" t="s">
        <v>119</v>
      </c>
      <c r="E31">
        <v>100</v>
      </c>
      <c r="F31" t="s">
        <v>33</v>
      </c>
      <c r="G31" s="6">
        <v>291</v>
      </c>
      <c r="H31">
        <v>155011</v>
      </c>
      <c r="I31" t="s">
        <v>12</v>
      </c>
      <c r="J31" t="s">
        <v>13</v>
      </c>
      <c r="K31" t="s">
        <v>59</v>
      </c>
      <c r="L31" t="s">
        <v>120</v>
      </c>
      <c r="N31" t="s">
        <v>100</v>
      </c>
      <c r="O31" t="s">
        <v>101</v>
      </c>
      <c r="P31">
        <v>16853397</v>
      </c>
      <c r="Q31" t="s">
        <v>102</v>
      </c>
      <c r="R31" t="s">
        <v>103</v>
      </c>
    </row>
    <row r="32" spans="1:18" x14ac:dyDescent="0.25">
      <c r="A32" t="str">
        <f t="shared" si="1"/>
        <v>1433380155011FMZM10</v>
      </c>
      <c r="B32">
        <v>1433380</v>
      </c>
      <c r="C32" t="s">
        <v>121</v>
      </c>
      <c r="D32" t="s">
        <v>122</v>
      </c>
      <c r="E32">
        <v>20</v>
      </c>
      <c r="F32" t="s">
        <v>35</v>
      </c>
      <c r="G32" s="6">
        <v>291</v>
      </c>
      <c r="H32">
        <v>155011</v>
      </c>
      <c r="I32" t="s">
        <v>12</v>
      </c>
      <c r="J32" t="s">
        <v>123</v>
      </c>
      <c r="K32" t="s">
        <v>59</v>
      </c>
      <c r="L32" t="s">
        <v>124</v>
      </c>
      <c r="M32">
        <v>1433382</v>
      </c>
      <c r="N32" t="s">
        <v>100</v>
      </c>
      <c r="O32" t="s">
        <v>101</v>
      </c>
      <c r="P32">
        <v>16853397</v>
      </c>
      <c r="Q32" t="s">
        <v>102</v>
      </c>
      <c r="R32" t="s">
        <v>103</v>
      </c>
    </row>
    <row r="33" spans="1:18" x14ac:dyDescent="0.25">
      <c r="A33" t="str">
        <f t="shared" ref="A33" si="2">CONCATENATE(B33,H33,I33,J33)</f>
        <v>1433380155011ZRZM10</v>
      </c>
      <c r="B33">
        <v>1433380</v>
      </c>
      <c r="C33" t="s">
        <v>121</v>
      </c>
      <c r="D33" t="s">
        <v>122</v>
      </c>
      <c r="E33">
        <v>20</v>
      </c>
      <c r="F33" t="s">
        <v>35</v>
      </c>
      <c r="G33" s="6">
        <v>200</v>
      </c>
      <c r="H33">
        <v>155011</v>
      </c>
      <c r="I33" t="s">
        <v>137</v>
      </c>
      <c r="J33" t="s">
        <v>123</v>
      </c>
      <c r="K33" t="s">
        <v>59</v>
      </c>
      <c r="L33" t="s">
        <v>124</v>
      </c>
      <c r="M33">
        <v>1433382</v>
      </c>
      <c r="N33" t="s">
        <v>100</v>
      </c>
      <c r="O33" t="s">
        <v>101</v>
      </c>
      <c r="P33">
        <v>16853397</v>
      </c>
      <c r="Q33" t="s">
        <v>102</v>
      </c>
      <c r="R33" t="s">
        <v>103</v>
      </c>
    </row>
  </sheetData>
  <sortState xmlns:xlrd2="http://schemas.microsoft.com/office/spreadsheetml/2017/richdata2" ref="B2:R20">
    <sortCondition ref="C2:C20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8"/>
  <dimension ref="A1:B30"/>
  <sheetViews>
    <sheetView workbookViewId="0">
      <selection activeCell="H1" sqref="H1:J1048576"/>
    </sheetView>
  </sheetViews>
  <sheetFormatPr defaultRowHeight="15" x14ac:dyDescent="0.25"/>
  <sheetData>
    <row r="1" spans="1:2" x14ac:dyDescent="0.25">
      <c r="A1" t="s">
        <v>21</v>
      </c>
      <c r="B1" t="s">
        <v>63</v>
      </c>
    </row>
    <row r="2" spans="1:2" x14ac:dyDescent="0.25">
      <c r="A2">
        <v>1</v>
      </c>
      <c r="B2" t="s">
        <v>64</v>
      </c>
    </row>
    <row r="3" spans="1:2" x14ac:dyDescent="0.25">
      <c r="A3">
        <v>3</v>
      </c>
      <c r="B3" t="s">
        <v>65</v>
      </c>
    </row>
    <row r="4" spans="1:2" x14ac:dyDescent="0.25">
      <c r="A4">
        <v>4</v>
      </c>
      <c r="B4" t="s">
        <v>66</v>
      </c>
    </row>
    <row r="5" spans="1:2" x14ac:dyDescent="0.25">
      <c r="A5">
        <v>5</v>
      </c>
      <c r="B5" t="s">
        <v>67</v>
      </c>
    </row>
    <row r="6" spans="1:2" x14ac:dyDescent="0.25">
      <c r="A6">
        <v>6</v>
      </c>
      <c r="B6" t="s">
        <v>68</v>
      </c>
    </row>
    <row r="7" spans="1:2" x14ac:dyDescent="0.25">
      <c r="A7">
        <v>8</v>
      </c>
      <c r="B7" t="s">
        <v>69</v>
      </c>
    </row>
    <row r="8" spans="1:2" x14ac:dyDescent="0.25">
      <c r="A8">
        <v>10</v>
      </c>
      <c r="B8" t="s">
        <v>70</v>
      </c>
    </row>
    <row r="9" spans="1:2" x14ac:dyDescent="0.25">
      <c r="A9">
        <v>12</v>
      </c>
      <c r="B9" t="s">
        <v>71</v>
      </c>
    </row>
    <row r="10" spans="1:2" x14ac:dyDescent="0.25">
      <c r="A10">
        <v>14</v>
      </c>
      <c r="B10" t="s">
        <v>72</v>
      </c>
    </row>
    <row r="11" spans="1:2" x14ac:dyDescent="0.25">
      <c r="A11">
        <v>16</v>
      </c>
      <c r="B11" t="s">
        <v>73</v>
      </c>
    </row>
    <row r="12" spans="1:2" x14ac:dyDescent="0.25">
      <c r="A12">
        <v>18</v>
      </c>
      <c r="B12" t="s">
        <v>74</v>
      </c>
    </row>
    <row r="13" spans="1:2" x14ac:dyDescent="0.25">
      <c r="A13">
        <v>20</v>
      </c>
      <c r="B13" t="s">
        <v>75</v>
      </c>
    </row>
    <row r="14" spans="1:2" x14ac:dyDescent="0.25">
      <c r="A14">
        <v>22</v>
      </c>
      <c r="B14" t="s">
        <v>76</v>
      </c>
    </row>
    <row r="15" spans="1:2" x14ac:dyDescent="0.25">
      <c r="A15">
        <v>24</v>
      </c>
      <c r="B15" t="s">
        <v>77</v>
      </c>
    </row>
    <row r="16" spans="1:2" x14ac:dyDescent="0.25">
      <c r="A16">
        <v>26</v>
      </c>
      <c r="B16" t="s">
        <v>78</v>
      </c>
    </row>
    <row r="17" spans="1:2" x14ac:dyDescent="0.25">
      <c r="A17">
        <v>28</v>
      </c>
      <c r="B17" t="s">
        <v>79</v>
      </c>
    </row>
    <row r="18" spans="1:2" x14ac:dyDescent="0.25">
      <c r="A18">
        <v>30</v>
      </c>
      <c r="B18" t="s">
        <v>80</v>
      </c>
    </row>
    <row r="19" spans="1:2" x14ac:dyDescent="0.25">
      <c r="A19">
        <v>32</v>
      </c>
      <c r="B19" t="s">
        <v>81</v>
      </c>
    </row>
    <row r="20" spans="1:2" x14ac:dyDescent="0.25">
      <c r="A20">
        <v>34</v>
      </c>
      <c r="B20" t="s">
        <v>82</v>
      </c>
    </row>
    <row r="21" spans="1:2" x14ac:dyDescent="0.25">
      <c r="A21">
        <v>36</v>
      </c>
      <c r="B21" t="s">
        <v>83</v>
      </c>
    </row>
    <row r="22" spans="1:2" x14ac:dyDescent="0.25">
      <c r="A22">
        <v>50</v>
      </c>
      <c r="B22" t="s">
        <v>84</v>
      </c>
    </row>
    <row r="23" spans="1:2" x14ac:dyDescent="0.25">
      <c r="A23">
        <v>60</v>
      </c>
      <c r="B23" t="s">
        <v>85</v>
      </c>
    </row>
    <row r="24" spans="1:2" x14ac:dyDescent="0.25">
      <c r="A24">
        <v>64</v>
      </c>
      <c r="B24" t="s">
        <v>86</v>
      </c>
    </row>
    <row r="25" spans="1:2" x14ac:dyDescent="0.25">
      <c r="A25">
        <v>65</v>
      </c>
      <c r="B25" t="s">
        <v>87</v>
      </c>
    </row>
    <row r="26" spans="1:2" x14ac:dyDescent="0.25">
      <c r="A26">
        <v>68</v>
      </c>
      <c r="B26" t="s">
        <v>88</v>
      </c>
    </row>
    <row r="27" spans="1:2" x14ac:dyDescent="0.25">
      <c r="A27">
        <v>70</v>
      </c>
      <c r="B27" t="s">
        <v>89</v>
      </c>
    </row>
    <row r="28" spans="1:2" x14ac:dyDescent="0.25">
      <c r="A28">
        <v>72</v>
      </c>
      <c r="B28" t="s">
        <v>90</v>
      </c>
    </row>
    <row r="29" spans="1:2" x14ac:dyDescent="0.25">
      <c r="A29">
        <v>74</v>
      </c>
      <c r="B29" t="s">
        <v>91</v>
      </c>
    </row>
    <row r="30" spans="1:2" x14ac:dyDescent="0.25">
      <c r="A30">
        <v>75</v>
      </c>
      <c r="B30" t="s">
        <v>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179f-978c-4481-a7a6-ef51df23b624">
      <Terms xmlns="http://schemas.microsoft.com/office/infopath/2007/PartnerControls"/>
    </lcf76f155ced4ddcb4097134ff3c332f>
    <TaxCatchAll xmlns="ccb28291-4696-4338-b7b0-db1311812d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45814F16A8E8488B9726EB8082883D" ma:contentTypeVersion="16" ma:contentTypeDescription="Crie um novo documento." ma:contentTypeScope="" ma:versionID="4c8533ec4060c2126b3f356fe7c68b35">
  <xsd:schema xmlns:xsd="http://www.w3.org/2001/XMLSchema" xmlns:xs="http://www.w3.org/2001/XMLSchema" xmlns:p="http://schemas.microsoft.com/office/2006/metadata/properties" xmlns:ns2="b2e6179f-978c-4481-a7a6-ef51df23b624" xmlns:ns3="ccb28291-4696-4338-b7b0-db1311812d19" targetNamespace="http://schemas.microsoft.com/office/2006/metadata/properties" ma:root="true" ma:fieldsID="a46b4f56b05233e34e6b37dde1c44918" ns2:_="" ns3:_="">
    <xsd:import namespace="b2e6179f-978c-4481-a7a6-ef51df23b624"/>
    <xsd:import namespace="ccb28291-4696-4338-b7b0-db1311812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179f-978c-4481-a7a6-ef51df23b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c18899-56da-4232-b7fe-7e4604919f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28291-4696-4338-b7b0-db1311812d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e7ff5f-16b0-4bfd-a731-557374d56bff}" ma:internalName="TaxCatchAll" ma:showField="CatchAllData" ma:web="ccb28291-4696-4338-b7b0-db1311812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DA58D-6935-4A37-A4E9-FEF07C11D480}">
  <ds:schemaRefs>
    <ds:schemaRef ds:uri="http://schemas.microsoft.com/office/2006/metadata/properties"/>
    <ds:schemaRef ds:uri="http://schemas.microsoft.com/office/infopath/2007/PartnerControls"/>
    <ds:schemaRef ds:uri="b2e6179f-978c-4481-a7a6-ef51df23b624"/>
    <ds:schemaRef ds:uri="ccb28291-4696-4338-b7b0-db1311812d19"/>
  </ds:schemaRefs>
</ds:datastoreItem>
</file>

<file path=customXml/itemProps2.xml><?xml version="1.0" encoding="utf-8"?>
<ds:datastoreItem xmlns:ds="http://schemas.openxmlformats.org/officeDocument/2006/customXml" ds:itemID="{2B3FB6B6-2F84-45FA-AD1D-E460C0DBC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80FB0F-D460-4FF3-BAEA-4BFE91F52F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e6179f-978c-4481-a7a6-ef51df23b624"/>
    <ds:schemaRef ds:uri="ccb28291-4696-4338-b7b0-db1311812d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base_objeto_postado</vt:lpstr>
      <vt:lpstr>base_pedidos</vt:lpstr>
      <vt:lpstr>base_lotes</vt:lpstr>
      <vt:lpstr>base_mcco</vt:lpstr>
    </vt:vector>
  </TitlesOfParts>
  <Manager/>
  <Company>CORREIOS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Almeida Caetano</dc:creator>
  <cp:keywords/>
  <dc:description/>
  <cp:lastModifiedBy>FABIO ALMEIDA CAETANO</cp:lastModifiedBy>
  <cp:revision/>
  <dcterms:created xsi:type="dcterms:W3CDTF">2021-11-10T16:04:02Z</dcterms:created>
  <dcterms:modified xsi:type="dcterms:W3CDTF">2026-01-21T10:19:27Z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0x0101001645814F16A8E8488B9726EB8082883D</vt:lpwstr>
  </property>
  <property fmtid="{D5CDD505-2E9C-101B-9397-08002B2CF9AE}" pid="3" name="MediaServiceImageTags">
    <vt:lpwstr/>
  </property>
</Properties>
</file>